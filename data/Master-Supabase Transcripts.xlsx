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michaelsaatkampgomez/Documents/Masterarbeit/Saatkamp-Thesis-Repository/data/"/>
    </mc:Choice>
  </mc:AlternateContent>
  <xr:revisionPtr revIDLastSave="0" documentId="13_ncr:1_{A533C1BF-C1C6-3C4E-B000-83131E4100B5}" xr6:coauthVersionLast="47" xr6:coauthVersionMax="47" xr10:uidLastSave="{00000000-0000-0000-0000-000000000000}"/>
  <bookViews>
    <workbookView xWindow="0" yWindow="500" windowWidth="28800" windowHeight="16280" xr2:uid="{00000000-000D-0000-FFFF-FFFF00000000}"/>
  </bookViews>
  <sheets>
    <sheet name="Hoja 1 - Supabase Transcripts" sheetId="1" r:id="rId1"/>
    <sheet name="Qualitative Analysis" sheetId="2" r:id="rId2"/>
  </sheets>
  <definedNames>
    <definedName name="_xlnm._FilterDatabase" localSheetId="0" hidden="1">'Hoja 1 - Supabase Transcripts'!$A$2:$CY$105</definedName>
    <definedName name="_xlnm._FilterDatabase" localSheetId="1" hidden="1">'Qualitative Analysis'!$A$1:$N$430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Z105" i="1" l="1"/>
  <c r="EY105" i="1"/>
  <c r="EX105" i="1"/>
  <c r="FA105" i="1" s="1"/>
  <c r="EW105" i="1"/>
  <c r="EV105" i="1"/>
  <c r="EU105" i="1"/>
  <c r="ET105" i="1"/>
  <c r="ES105" i="1"/>
  <c r="EZ104" i="1"/>
  <c r="EY104" i="1"/>
  <c r="EX104" i="1"/>
  <c r="FA104" i="1" s="1"/>
  <c r="EW104" i="1"/>
  <c r="EV104" i="1"/>
  <c r="EU104" i="1"/>
  <c r="ET104" i="1"/>
  <c r="ES104" i="1"/>
  <c r="EZ103" i="1"/>
  <c r="EY103" i="1"/>
  <c r="EX103" i="1"/>
  <c r="FA103" i="1" s="1"/>
  <c r="EW103" i="1"/>
  <c r="EV103" i="1"/>
  <c r="EU103" i="1"/>
  <c r="ET103" i="1"/>
  <c r="ES103" i="1"/>
  <c r="EZ102" i="1"/>
  <c r="EY102" i="1"/>
  <c r="EX102" i="1"/>
  <c r="FA102" i="1" s="1"/>
  <c r="EW102" i="1"/>
  <c r="EV102" i="1"/>
  <c r="EU102" i="1"/>
  <c r="ET102" i="1"/>
  <c r="ES102" i="1"/>
  <c r="EZ101" i="1"/>
  <c r="EY101" i="1"/>
  <c r="EX101" i="1"/>
  <c r="FA101" i="1" s="1"/>
  <c r="EW101" i="1"/>
  <c r="EV101" i="1"/>
  <c r="EU101" i="1"/>
  <c r="ET101" i="1"/>
  <c r="ES101" i="1"/>
  <c r="EZ100" i="1"/>
  <c r="EY100" i="1"/>
  <c r="EX100" i="1"/>
  <c r="FA100" i="1" s="1"/>
  <c r="EW100" i="1"/>
  <c r="EV100" i="1"/>
  <c r="EU100" i="1"/>
  <c r="ET100" i="1"/>
  <c r="ES100" i="1"/>
  <c r="EZ99" i="1"/>
  <c r="EY99" i="1"/>
  <c r="EX99" i="1"/>
  <c r="FA99" i="1" s="1"/>
  <c r="EW99" i="1"/>
  <c r="EV99" i="1"/>
  <c r="EU99" i="1"/>
  <c r="ET99" i="1"/>
  <c r="ES99" i="1"/>
  <c r="EZ98" i="1"/>
  <c r="EY98" i="1"/>
  <c r="EX98" i="1"/>
  <c r="FA98" i="1" s="1"/>
  <c r="EW98" i="1"/>
  <c r="EV98" i="1"/>
  <c r="EU98" i="1"/>
  <c r="ET98" i="1"/>
  <c r="ES98" i="1"/>
  <c r="EZ97" i="1"/>
  <c r="EY97" i="1"/>
  <c r="EX97" i="1"/>
  <c r="FA97" i="1" s="1"/>
  <c r="EW97" i="1"/>
  <c r="EV97" i="1"/>
  <c r="EU97" i="1"/>
  <c r="ET97" i="1"/>
  <c r="ES97" i="1"/>
  <c r="EZ96" i="1"/>
  <c r="EY96" i="1"/>
  <c r="EX96" i="1"/>
  <c r="FA96" i="1" s="1"/>
  <c r="EW96" i="1"/>
  <c r="EV96" i="1"/>
  <c r="EU96" i="1"/>
  <c r="ET96" i="1"/>
  <c r="ES96" i="1"/>
  <c r="EZ95" i="1"/>
  <c r="EY95" i="1"/>
  <c r="EX95" i="1"/>
  <c r="FA95" i="1" s="1"/>
  <c r="EW95" i="1"/>
  <c r="EV95" i="1"/>
  <c r="EU95" i="1"/>
  <c r="ET95" i="1"/>
  <c r="ES95" i="1"/>
  <c r="EZ94" i="1"/>
  <c r="EY94" i="1"/>
  <c r="EX94" i="1"/>
  <c r="FA94" i="1" s="1"/>
  <c r="EW94" i="1"/>
  <c r="EV94" i="1"/>
  <c r="EU94" i="1"/>
  <c r="ET94" i="1"/>
  <c r="ES94" i="1"/>
  <c r="EZ93" i="1"/>
  <c r="EY93" i="1"/>
  <c r="EX93" i="1"/>
  <c r="FA93" i="1" s="1"/>
  <c r="EW93" i="1"/>
  <c r="EV93" i="1"/>
  <c r="EU93" i="1"/>
  <c r="ET93" i="1"/>
  <c r="ES93" i="1"/>
  <c r="EZ92" i="1"/>
  <c r="EY92" i="1"/>
  <c r="EX92" i="1"/>
  <c r="FA92" i="1" s="1"/>
  <c r="EW92" i="1"/>
  <c r="EV92" i="1"/>
  <c r="EU92" i="1"/>
  <c r="ET92" i="1"/>
  <c r="ES92" i="1"/>
  <c r="EZ91" i="1"/>
  <c r="EY91" i="1"/>
  <c r="EX91" i="1"/>
  <c r="FA91" i="1" s="1"/>
  <c r="EW91" i="1"/>
  <c r="EV91" i="1"/>
  <c r="EU91" i="1"/>
  <c r="ET91" i="1"/>
  <c r="ES91" i="1"/>
  <c r="EZ90" i="1"/>
  <c r="EY90" i="1"/>
  <c r="EX90" i="1"/>
  <c r="FA90" i="1" s="1"/>
  <c r="EW90" i="1"/>
  <c r="EV90" i="1"/>
  <c r="EU90" i="1"/>
  <c r="ET90" i="1"/>
  <c r="ES90" i="1"/>
  <c r="EZ89" i="1"/>
  <c r="EY89" i="1"/>
  <c r="EX89" i="1"/>
  <c r="FA89" i="1" s="1"/>
  <c r="EW89" i="1"/>
  <c r="EV89" i="1"/>
  <c r="EU89" i="1"/>
  <c r="ET89" i="1"/>
  <c r="ES89" i="1"/>
  <c r="EZ88" i="1"/>
  <c r="EY88" i="1"/>
  <c r="EX88" i="1"/>
  <c r="FA88" i="1" s="1"/>
  <c r="EW88" i="1"/>
  <c r="EV88" i="1"/>
  <c r="EU88" i="1"/>
  <c r="ET88" i="1"/>
  <c r="ES88" i="1"/>
  <c r="EZ87" i="1"/>
  <c r="EY87" i="1"/>
  <c r="EX87" i="1"/>
  <c r="FA87" i="1" s="1"/>
  <c r="EW87" i="1"/>
  <c r="EV87" i="1"/>
  <c r="EU87" i="1"/>
  <c r="ET87" i="1"/>
  <c r="ES87" i="1"/>
  <c r="EZ86" i="1"/>
  <c r="EY86" i="1"/>
  <c r="EX86" i="1"/>
  <c r="FA86" i="1" s="1"/>
  <c r="EW86" i="1"/>
  <c r="EV86" i="1"/>
  <c r="EU86" i="1"/>
  <c r="ET86" i="1"/>
  <c r="ES86" i="1"/>
  <c r="EZ85" i="1"/>
  <c r="EY85" i="1"/>
  <c r="EX85" i="1"/>
  <c r="FA85" i="1" s="1"/>
  <c r="EW85" i="1"/>
  <c r="EV85" i="1"/>
  <c r="EU85" i="1"/>
  <c r="ET85" i="1"/>
  <c r="ES85" i="1"/>
  <c r="EZ84" i="1"/>
  <c r="EY84" i="1"/>
  <c r="EX84" i="1"/>
  <c r="FA84" i="1" s="1"/>
  <c r="EW84" i="1"/>
  <c r="EV84" i="1"/>
  <c r="EU84" i="1"/>
  <c r="ET84" i="1"/>
  <c r="ES84" i="1"/>
  <c r="EZ83" i="1"/>
  <c r="EY83" i="1"/>
  <c r="EX83" i="1"/>
  <c r="FA83" i="1" s="1"/>
  <c r="EW83" i="1"/>
  <c r="EV83" i="1"/>
  <c r="EU83" i="1"/>
  <c r="ET83" i="1"/>
  <c r="ES83" i="1"/>
  <c r="EZ82" i="1"/>
  <c r="EY82" i="1"/>
  <c r="EX82" i="1"/>
  <c r="FA82" i="1" s="1"/>
  <c r="EW82" i="1"/>
  <c r="EV82" i="1"/>
  <c r="EU82" i="1"/>
  <c r="ET82" i="1"/>
  <c r="ES82" i="1"/>
  <c r="EZ81" i="1"/>
  <c r="EY81" i="1"/>
  <c r="EX81" i="1"/>
  <c r="FA81" i="1" s="1"/>
  <c r="EW81" i="1"/>
  <c r="EV81" i="1"/>
  <c r="EU81" i="1"/>
  <c r="ET81" i="1"/>
  <c r="ES81" i="1"/>
  <c r="EZ80" i="1"/>
  <c r="EY80" i="1"/>
  <c r="EX80" i="1"/>
  <c r="FA80" i="1" s="1"/>
  <c r="EW80" i="1"/>
  <c r="EV80" i="1"/>
  <c r="EU80" i="1"/>
  <c r="ET80" i="1"/>
  <c r="ES80" i="1"/>
  <c r="EZ79" i="1"/>
  <c r="EY79" i="1"/>
  <c r="EX79" i="1"/>
  <c r="FA79" i="1" s="1"/>
  <c r="EW79" i="1"/>
  <c r="EV79" i="1"/>
  <c r="EU79" i="1"/>
  <c r="ET79" i="1"/>
  <c r="ES79" i="1"/>
  <c r="EZ78" i="1"/>
  <c r="EY78" i="1"/>
  <c r="EX78" i="1"/>
  <c r="FA78" i="1" s="1"/>
  <c r="EW78" i="1"/>
  <c r="EV78" i="1"/>
  <c r="EU78" i="1"/>
  <c r="ET78" i="1"/>
  <c r="ES78" i="1"/>
  <c r="EZ77" i="1"/>
  <c r="EY77" i="1"/>
  <c r="EX77" i="1"/>
  <c r="FA77" i="1" s="1"/>
  <c r="EW77" i="1"/>
  <c r="EV77" i="1"/>
  <c r="EU77" i="1"/>
  <c r="ET77" i="1"/>
  <c r="ES77" i="1"/>
  <c r="EZ76" i="1"/>
  <c r="EY76" i="1"/>
  <c r="EX76" i="1"/>
  <c r="FA76" i="1" s="1"/>
  <c r="EW76" i="1"/>
  <c r="EV76" i="1"/>
  <c r="EU76" i="1"/>
  <c r="ET76" i="1"/>
  <c r="ES76" i="1"/>
  <c r="EZ75" i="1"/>
  <c r="EY75" i="1"/>
  <c r="EX75" i="1"/>
  <c r="FA75" i="1" s="1"/>
  <c r="EW75" i="1"/>
  <c r="EV75" i="1"/>
  <c r="EU75" i="1"/>
  <c r="ET75" i="1"/>
  <c r="ES75" i="1"/>
  <c r="EZ74" i="1"/>
  <c r="EY74" i="1"/>
  <c r="EX74" i="1"/>
  <c r="FA74" i="1" s="1"/>
  <c r="EW74" i="1"/>
  <c r="EV74" i="1"/>
  <c r="EU74" i="1"/>
  <c r="ET74" i="1"/>
  <c r="ES74" i="1"/>
  <c r="EZ73" i="1"/>
  <c r="EY73" i="1"/>
  <c r="EX73" i="1"/>
  <c r="FA73" i="1" s="1"/>
  <c r="EW73" i="1"/>
  <c r="EV73" i="1"/>
  <c r="EU73" i="1"/>
  <c r="ET73" i="1"/>
  <c r="ES73" i="1"/>
  <c r="EZ72" i="1"/>
  <c r="EY72" i="1"/>
  <c r="EX72" i="1"/>
  <c r="FA72" i="1" s="1"/>
  <c r="EW72" i="1"/>
  <c r="EV72" i="1"/>
  <c r="EU72" i="1"/>
  <c r="ET72" i="1"/>
  <c r="ES72" i="1"/>
  <c r="EZ71" i="1"/>
  <c r="EY71" i="1"/>
  <c r="EX71" i="1"/>
  <c r="FA71" i="1" s="1"/>
  <c r="EW71" i="1"/>
  <c r="EV71" i="1"/>
  <c r="EU71" i="1"/>
  <c r="ET71" i="1"/>
  <c r="ES71" i="1"/>
  <c r="EZ70" i="1"/>
  <c r="EY70" i="1"/>
  <c r="EX70" i="1"/>
  <c r="FA70" i="1" s="1"/>
  <c r="EW70" i="1"/>
  <c r="EV70" i="1"/>
  <c r="EU70" i="1"/>
  <c r="ET70" i="1"/>
  <c r="ES70" i="1"/>
  <c r="EZ69" i="1"/>
  <c r="EY69" i="1"/>
  <c r="EX69" i="1"/>
  <c r="FA69" i="1" s="1"/>
  <c r="EW69" i="1"/>
  <c r="EV69" i="1"/>
  <c r="EU69" i="1"/>
  <c r="ET69" i="1"/>
  <c r="ES69" i="1"/>
  <c r="EZ68" i="1"/>
  <c r="EY68" i="1"/>
  <c r="EX68" i="1"/>
  <c r="FA68" i="1" s="1"/>
  <c r="EW68" i="1"/>
  <c r="EV68" i="1"/>
  <c r="EU68" i="1"/>
  <c r="ET68" i="1"/>
  <c r="ES68" i="1"/>
  <c r="EZ67" i="1"/>
  <c r="EY67" i="1"/>
  <c r="EX67" i="1"/>
  <c r="FA67" i="1" s="1"/>
  <c r="EW67" i="1"/>
  <c r="EV67" i="1"/>
  <c r="EU67" i="1"/>
  <c r="ET67" i="1"/>
  <c r="ES67" i="1"/>
  <c r="EZ66" i="1"/>
  <c r="EY66" i="1"/>
  <c r="EX66" i="1"/>
  <c r="FA66" i="1" s="1"/>
  <c r="EW66" i="1"/>
  <c r="EV66" i="1"/>
  <c r="EU66" i="1"/>
  <c r="ET66" i="1"/>
  <c r="ES66" i="1"/>
  <c r="EZ65" i="1"/>
  <c r="EY65" i="1"/>
  <c r="EX65" i="1"/>
  <c r="FA65" i="1" s="1"/>
  <c r="EW65" i="1"/>
  <c r="EV65" i="1"/>
  <c r="EU65" i="1"/>
  <c r="ET65" i="1"/>
  <c r="ES65" i="1"/>
  <c r="EZ64" i="1"/>
  <c r="EY64" i="1"/>
  <c r="EX64" i="1"/>
  <c r="FA64" i="1" s="1"/>
  <c r="EW64" i="1"/>
  <c r="EV64" i="1"/>
  <c r="EU64" i="1"/>
  <c r="ET64" i="1"/>
  <c r="ES64" i="1"/>
  <c r="EZ63" i="1"/>
  <c r="EY63" i="1"/>
  <c r="EX63" i="1"/>
  <c r="FA63" i="1" s="1"/>
  <c r="EW63" i="1"/>
  <c r="EV63" i="1"/>
  <c r="EU63" i="1"/>
  <c r="ET63" i="1"/>
  <c r="ES63" i="1"/>
  <c r="EZ62" i="1"/>
  <c r="EY62" i="1"/>
  <c r="EX62" i="1"/>
  <c r="FA62" i="1" s="1"/>
  <c r="EW62" i="1"/>
  <c r="EV62" i="1"/>
  <c r="EU62" i="1"/>
  <c r="ET62" i="1"/>
  <c r="ES62" i="1"/>
  <c r="EZ61" i="1"/>
  <c r="EY61" i="1"/>
  <c r="EX61" i="1"/>
  <c r="FA61" i="1" s="1"/>
  <c r="EW61" i="1"/>
  <c r="EV61" i="1"/>
  <c r="EU61" i="1"/>
  <c r="ET61" i="1"/>
  <c r="ES61" i="1"/>
  <c r="EZ60" i="1"/>
  <c r="EY60" i="1"/>
  <c r="EX60" i="1"/>
  <c r="FA60" i="1" s="1"/>
  <c r="EW60" i="1"/>
  <c r="EV60" i="1"/>
  <c r="EU60" i="1"/>
  <c r="ET60" i="1"/>
  <c r="ES60" i="1"/>
  <c r="EZ59" i="1"/>
  <c r="EY59" i="1"/>
  <c r="EX59" i="1"/>
  <c r="FA59" i="1" s="1"/>
  <c r="EW59" i="1"/>
  <c r="EV59" i="1"/>
  <c r="EU59" i="1"/>
  <c r="ET59" i="1"/>
  <c r="ES59" i="1"/>
  <c r="EZ58" i="1"/>
  <c r="EY58" i="1"/>
  <c r="EX58" i="1"/>
  <c r="FA58" i="1" s="1"/>
  <c r="EW58" i="1"/>
  <c r="EV58" i="1"/>
  <c r="EU58" i="1"/>
  <c r="ET58" i="1"/>
  <c r="ES58" i="1"/>
  <c r="EZ57" i="1"/>
  <c r="EY57" i="1"/>
  <c r="EX57" i="1"/>
  <c r="FA57" i="1" s="1"/>
  <c r="EW57" i="1"/>
  <c r="EV57" i="1"/>
  <c r="EU57" i="1"/>
  <c r="ET57" i="1"/>
  <c r="ES57" i="1"/>
  <c r="EZ56" i="1"/>
  <c r="EY56" i="1"/>
  <c r="EX56" i="1"/>
  <c r="FA56" i="1" s="1"/>
  <c r="EW56" i="1"/>
  <c r="EV56" i="1"/>
  <c r="EU56" i="1"/>
  <c r="ET56" i="1"/>
  <c r="ES56" i="1"/>
  <c r="EZ55" i="1"/>
  <c r="EY55" i="1"/>
  <c r="EX55" i="1"/>
  <c r="FA55" i="1" s="1"/>
  <c r="EW55" i="1"/>
  <c r="EV55" i="1"/>
  <c r="EU55" i="1"/>
  <c r="ET55" i="1"/>
  <c r="ES55" i="1"/>
  <c r="EZ54" i="1"/>
  <c r="EY54" i="1"/>
  <c r="EX54" i="1"/>
  <c r="FA54" i="1" s="1"/>
  <c r="EW54" i="1"/>
  <c r="EV54" i="1"/>
  <c r="EU54" i="1"/>
  <c r="ET54" i="1"/>
  <c r="ES54" i="1"/>
  <c r="EZ53" i="1"/>
  <c r="EY53" i="1"/>
  <c r="EX53" i="1"/>
  <c r="FA53" i="1" s="1"/>
  <c r="EW53" i="1"/>
  <c r="EV53" i="1"/>
  <c r="EU53" i="1"/>
  <c r="ET53" i="1"/>
  <c r="ES53" i="1"/>
  <c r="EZ52" i="1"/>
  <c r="EY52" i="1"/>
  <c r="EX52" i="1"/>
  <c r="FA52" i="1" s="1"/>
  <c r="EW52" i="1"/>
  <c r="EV52" i="1"/>
  <c r="EU52" i="1"/>
  <c r="ET52" i="1"/>
  <c r="ES52" i="1"/>
  <c r="EZ51" i="1"/>
  <c r="EY51" i="1"/>
  <c r="EX51" i="1"/>
  <c r="FA51" i="1" s="1"/>
  <c r="EW51" i="1"/>
  <c r="EV51" i="1"/>
  <c r="EU51" i="1"/>
  <c r="ET51" i="1"/>
  <c r="ES51" i="1"/>
  <c r="EZ50" i="1"/>
  <c r="EY50" i="1"/>
  <c r="EX50" i="1"/>
  <c r="FA50" i="1" s="1"/>
  <c r="EW50" i="1"/>
  <c r="EV50" i="1"/>
  <c r="EU50" i="1"/>
  <c r="ET50" i="1"/>
  <c r="ES50" i="1"/>
  <c r="EZ49" i="1"/>
  <c r="EY49" i="1"/>
  <c r="EX49" i="1"/>
  <c r="FA49" i="1" s="1"/>
  <c r="EW49" i="1"/>
  <c r="EV49" i="1"/>
  <c r="EU49" i="1"/>
  <c r="ET49" i="1"/>
  <c r="ES49" i="1"/>
  <c r="EZ48" i="1"/>
  <c r="EY48" i="1"/>
  <c r="EX48" i="1"/>
  <c r="FA48" i="1" s="1"/>
  <c r="EW48" i="1"/>
  <c r="EV48" i="1"/>
  <c r="EU48" i="1"/>
  <c r="ET48" i="1"/>
  <c r="ES48" i="1"/>
  <c r="EZ47" i="1"/>
  <c r="EY47" i="1"/>
  <c r="EX47" i="1"/>
  <c r="FA47" i="1" s="1"/>
  <c r="EW47" i="1"/>
  <c r="EV47" i="1"/>
  <c r="EU47" i="1"/>
  <c r="ET47" i="1"/>
  <c r="ES47" i="1"/>
  <c r="EZ46" i="1"/>
  <c r="EY46" i="1"/>
  <c r="EX46" i="1"/>
  <c r="FA46" i="1" s="1"/>
  <c r="EW46" i="1"/>
  <c r="EV46" i="1"/>
  <c r="EU46" i="1"/>
  <c r="ET46" i="1"/>
  <c r="ES46" i="1"/>
  <c r="EZ45" i="1"/>
  <c r="EY45" i="1"/>
  <c r="EX45" i="1"/>
  <c r="FA45" i="1" s="1"/>
  <c r="EW45" i="1"/>
  <c r="EV45" i="1"/>
  <c r="EU45" i="1"/>
  <c r="ET45" i="1"/>
  <c r="ES45" i="1"/>
  <c r="EZ44" i="1"/>
  <c r="EY44" i="1"/>
  <c r="EX44" i="1"/>
  <c r="FA44" i="1" s="1"/>
  <c r="EW44" i="1"/>
  <c r="EV44" i="1"/>
  <c r="EU44" i="1"/>
  <c r="ET44" i="1"/>
  <c r="ES44" i="1"/>
  <c r="EZ43" i="1"/>
  <c r="EY43" i="1"/>
  <c r="EX43" i="1"/>
  <c r="FA43" i="1" s="1"/>
  <c r="EW43" i="1"/>
  <c r="EV43" i="1"/>
  <c r="EU43" i="1"/>
  <c r="ET43" i="1"/>
  <c r="ES43" i="1"/>
  <c r="EZ42" i="1"/>
  <c r="EY42" i="1"/>
  <c r="EX42" i="1"/>
  <c r="FA42" i="1" s="1"/>
  <c r="EW42" i="1"/>
  <c r="EV42" i="1"/>
  <c r="EU42" i="1"/>
  <c r="ET42" i="1"/>
  <c r="ES42" i="1"/>
  <c r="EZ41" i="1"/>
  <c r="EY41" i="1"/>
  <c r="EX41" i="1"/>
  <c r="FA41" i="1" s="1"/>
  <c r="EW41" i="1"/>
  <c r="EV41" i="1"/>
  <c r="EU41" i="1"/>
  <c r="ET41" i="1"/>
  <c r="ES41" i="1"/>
  <c r="EZ40" i="1"/>
  <c r="EY40" i="1"/>
  <c r="EX40" i="1"/>
  <c r="FA40" i="1" s="1"/>
  <c r="EW40" i="1"/>
  <c r="EV40" i="1"/>
  <c r="EU40" i="1"/>
  <c r="ET40" i="1"/>
  <c r="ES40" i="1"/>
  <c r="EZ39" i="1"/>
  <c r="EY39" i="1"/>
  <c r="EX39" i="1"/>
  <c r="FA39" i="1" s="1"/>
  <c r="EW39" i="1"/>
  <c r="EV39" i="1"/>
  <c r="EU39" i="1"/>
  <c r="ET39" i="1"/>
  <c r="ES39" i="1"/>
  <c r="EZ38" i="1"/>
  <c r="EY38" i="1"/>
  <c r="EX38" i="1"/>
  <c r="FA38" i="1" s="1"/>
  <c r="EW38" i="1"/>
  <c r="EV38" i="1"/>
  <c r="EU38" i="1"/>
  <c r="ET38" i="1"/>
  <c r="ES38" i="1"/>
  <c r="EZ37" i="1"/>
  <c r="EY37" i="1"/>
  <c r="EX37" i="1"/>
  <c r="FA37" i="1" s="1"/>
  <c r="EW37" i="1"/>
  <c r="EV37" i="1"/>
  <c r="EU37" i="1"/>
  <c r="ET37" i="1"/>
  <c r="ES37" i="1"/>
  <c r="EZ36" i="1"/>
  <c r="EY36" i="1"/>
  <c r="EX36" i="1"/>
  <c r="FA36" i="1" s="1"/>
  <c r="EW36" i="1"/>
  <c r="EV36" i="1"/>
  <c r="EU36" i="1"/>
  <c r="ET36" i="1"/>
  <c r="ES36" i="1"/>
  <c r="EZ35" i="1"/>
  <c r="EY35" i="1"/>
  <c r="EX35" i="1"/>
  <c r="FA35" i="1" s="1"/>
  <c r="EW35" i="1"/>
  <c r="EV35" i="1"/>
  <c r="EU35" i="1"/>
  <c r="ET35" i="1"/>
  <c r="ES35" i="1"/>
  <c r="EZ34" i="1"/>
  <c r="EY34" i="1"/>
  <c r="EX34" i="1"/>
  <c r="FA34" i="1" s="1"/>
  <c r="EW34" i="1"/>
  <c r="EV34" i="1"/>
  <c r="EU34" i="1"/>
  <c r="ET34" i="1"/>
  <c r="ES34" i="1"/>
  <c r="EZ33" i="1"/>
  <c r="EY33" i="1"/>
  <c r="EX33" i="1"/>
  <c r="FA33" i="1" s="1"/>
  <c r="EW33" i="1"/>
  <c r="EV33" i="1"/>
  <c r="EU33" i="1"/>
  <c r="ET33" i="1"/>
  <c r="ES33" i="1"/>
  <c r="EZ32" i="1"/>
  <c r="EY32" i="1"/>
  <c r="EX32" i="1"/>
  <c r="FA32" i="1" s="1"/>
  <c r="EW32" i="1"/>
  <c r="EV32" i="1"/>
  <c r="EU32" i="1"/>
  <c r="ET32" i="1"/>
  <c r="ES32" i="1"/>
  <c r="EZ31" i="1"/>
  <c r="EY31" i="1"/>
  <c r="EX31" i="1"/>
  <c r="FA31" i="1" s="1"/>
  <c r="EW31" i="1"/>
  <c r="EV31" i="1"/>
  <c r="EU31" i="1"/>
  <c r="ET31" i="1"/>
  <c r="ES31" i="1"/>
  <c r="EZ30" i="1"/>
  <c r="EY30" i="1"/>
  <c r="EX30" i="1"/>
  <c r="FA30" i="1" s="1"/>
  <c r="EW30" i="1"/>
  <c r="EV30" i="1"/>
  <c r="EU30" i="1"/>
  <c r="ET30" i="1"/>
  <c r="ES30" i="1"/>
  <c r="EZ29" i="1"/>
  <c r="EY29" i="1"/>
  <c r="EX29" i="1"/>
  <c r="FA29" i="1" s="1"/>
  <c r="EW29" i="1"/>
  <c r="EV29" i="1"/>
  <c r="EU29" i="1"/>
  <c r="ET29" i="1"/>
  <c r="ES29" i="1"/>
  <c r="EZ28" i="1"/>
  <c r="EY28" i="1"/>
  <c r="EX28" i="1"/>
  <c r="FA28" i="1" s="1"/>
  <c r="EW28" i="1"/>
  <c r="EV28" i="1"/>
  <c r="EU28" i="1"/>
  <c r="ET28" i="1"/>
  <c r="ES28" i="1"/>
  <c r="EZ27" i="1"/>
  <c r="EY27" i="1"/>
  <c r="EX27" i="1"/>
  <c r="FA27" i="1" s="1"/>
  <c r="EW27" i="1"/>
  <c r="EV27" i="1"/>
  <c r="EU27" i="1"/>
  <c r="ET27" i="1"/>
  <c r="ES27" i="1"/>
  <c r="EZ26" i="1"/>
  <c r="EY26" i="1"/>
  <c r="EX26" i="1"/>
  <c r="FA26" i="1" s="1"/>
  <c r="EW26" i="1"/>
  <c r="EV26" i="1"/>
  <c r="EU26" i="1"/>
  <c r="ET26" i="1"/>
  <c r="ES26" i="1"/>
  <c r="EZ25" i="1"/>
  <c r="EY25" i="1"/>
  <c r="EX25" i="1"/>
  <c r="FA25" i="1" s="1"/>
  <c r="EW25" i="1"/>
  <c r="EV25" i="1"/>
  <c r="EU25" i="1"/>
  <c r="ET25" i="1"/>
  <c r="ES25" i="1"/>
  <c r="EZ24" i="1"/>
  <c r="EY24" i="1"/>
  <c r="EX24" i="1"/>
  <c r="FA24" i="1" s="1"/>
  <c r="EW24" i="1"/>
  <c r="EV24" i="1"/>
  <c r="EU24" i="1"/>
  <c r="ET24" i="1"/>
  <c r="ES24" i="1"/>
  <c r="EZ23" i="1"/>
  <c r="EY23" i="1"/>
  <c r="EX23" i="1"/>
  <c r="FA23" i="1" s="1"/>
  <c r="EW23" i="1"/>
  <c r="EV23" i="1"/>
  <c r="EU23" i="1"/>
  <c r="ET23" i="1"/>
  <c r="ES23" i="1"/>
  <c r="EZ22" i="1"/>
  <c r="EY22" i="1"/>
  <c r="EX22" i="1"/>
  <c r="FA22" i="1" s="1"/>
  <c r="EW22" i="1"/>
  <c r="EV22" i="1"/>
  <c r="EU22" i="1"/>
  <c r="ET22" i="1"/>
  <c r="ES22" i="1"/>
  <c r="EZ21" i="1"/>
  <c r="EY21" i="1"/>
  <c r="EX21" i="1"/>
  <c r="FA21" i="1" s="1"/>
  <c r="EW21" i="1"/>
  <c r="EV21" i="1"/>
  <c r="EU21" i="1"/>
  <c r="ET21" i="1"/>
  <c r="ES21" i="1"/>
  <c r="EZ20" i="1"/>
  <c r="EY20" i="1"/>
  <c r="EX20" i="1"/>
  <c r="FA20" i="1" s="1"/>
  <c r="EW20" i="1"/>
  <c r="EV20" i="1"/>
  <c r="EU20" i="1"/>
  <c r="ET20" i="1"/>
  <c r="ES20" i="1"/>
  <c r="EZ19" i="1"/>
  <c r="EY19" i="1"/>
  <c r="EX19" i="1"/>
  <c r="FA19" i="1" s="1"/>
  <c r="EW19" i="1"/>
  <c r="EV19" i="1"/>
  <c r="EU19" i="1"/>
  <c r="ET19" i="1"/>
  <c r="ES19" i="1"/>
  <c r="EZ18" i="1"/>
  <c r="EY18" i="1"/>
  <c r="EX18" i="1"/>
  <c r="FA18" i="1" s="1"/>
  <c r="EW18" i="1"/>
  <c r="EV18" i="1"/>
  <c r="EU18" i="1"/>
  <c r="ET18" i="1"/>
  <c r="ES18" i="1"/>
  <c r="EZ17" i="1"/>
  <c r="EY17" i="1"/>
  <c r="EX17" i="1"/>
  <c r="FA17" i="1" s="1"/>
  <c r="EW17" i="1"/>
  <c r="EV17" i="1"/>
  <c r="EU17" i="1"/>
  <c r="ET17" i="1"/>
  <c r="ES17" i="1"/>
  <c r="EZ16" i="1"/>
  <c r="EY16" i="1"/>
  <c r="EX16" i="1"/>
  <c r="FA16" i="1" s="1"/>
  <c r="EW16" i="1"/>
  <c r="EV16" i="1"/>
  <c r="EU16" i="1"/>
  <c r="ET16" i="1"/>
  <c r="ES16" i="1"/>
  <c r="EZ15" i="1"/>
  <c r="EY15" i="1"/>
  <c r="EX15" i="1"/>
  <c r="FA15" i="1" s="1"/>
  <c r="EW15" i="1"/>
  <c r="EV15" i="1"/>
  <c r="EU15" i="1"/>
  <c r="ET15" i="1"/>
  <c r="ES15" i="1"/>
  <c r="EZ14" i="1"/>
  <c r="EY14" i="1"/>
  <c r="EX14" i="1"/>
  <c r="FA14" i="1" s="1"/>
  <c r="EW14" i="1"/>
  <c r="EV14" i="1"/>
  <c r="EU14" i="1"/>
  <c r="ET14" i="1"/>
  <c r="ES14" i="1"/>
  <c r="EZ13" i="1"/>
  <c r="EY13" i="1"/>
  <c r="EX13" i="1"/>
  <c r="FA13" i="1" s="1"/>
  <c r="EW13" i="1"/>
  <c r="EV13" i="1"/>
  <c r="EU13" i="1"/>
  <c r="ET13" i="1"/>
  <c r="ES13" i="1"/>
  <c r="EZ12" i="1"/>
  <c r="EY12" i="1"/>
  <c r="EX12" i="1"/>
  <c r="FA12" i="1" s="1"/>
  <c r="EW12" i="1"/>
  <c r="EV12" i="1"/>
  <c r="EU12" i="1"/>
  <c r="ET12" i="1"/>
  <c r="ES12" i="1"/>
  <c r="EZ11" i="1"/>
  <c r="EY11" i="1"/>
  <c r="EX11" i="1"/>
  <c r="FA11" i="1" s="1"/>
  <c r="EW11" i="1"/>
  <c r="EV11" i="1"/>
  <c r="EU11" i="1"/>
  <c r="ET11" i="1"/>
  <c r="ES11" i="1"/>
  <c r="EZ10" i="1"/>
  <c r="EY10" i="1"/>
  <c r="EX10" i="1"/>
  <c r="FA10" i="1" s="1"/>
  <c r="EW10" i="1"/>
  <c r="EV10" i="1"/>
  <c r="EU10" i="1"/>
  <c r="ET10" i="1"/>
  <c r="ES10" i="1"/>
  <c r="EZ9" i="1"/>
  <c r="EY9" i="1"/>
  <c r="EX9" i="1"/>
  <c r="FA9" i="1" s="1"/>
  <c r="EW9" i="1"/>
  <c r="EV9" i="1"/>
  <c r="EU9" i="1"/>
  <c r="ET9" i="1"/>
  <c r="ES9" i="1"/>
  <c r="EZ8" i="1"/>
  <c r="EY8" i="1"/>
  <c r="EX8" i="1"/>
  <c r="FA8" i="1" s="1"/>
  <c r="EW8" i="1"/>
  <c r="EV8" i="1"/>
  <c r="EU8" i="1"/>
  <c r="ET8" i="1"/>
  <c r="ES8" i="1"/>
  <c r="EZ7" i="1"/>
  <c r="EY7" i="1"/>
  <c r="EX7" i="1"/>
  <c r="FA7" i="1" s="1"/>
  <c r="EW7" i="1"/>
  <c r="EV7" i="1"/>
  <c r="EU7" i="1"/>
  <c r="ET7" i="1"/>
  <c r="ES7" i="1"/>
  <c r="EZ6" i="1"/>
  <c r="EY6" i="1"/>
  <c r="EX6" i="1"/>
  <c r="FA6" i="1" s="1"/>
  <c r="EW6" i="1"/>
  <c r="EV6" i="1"/>
  <c r="EU6" i="1"/>
  <c r="ET6" i="1"/>
  <c r="ES6" i="1"/>
  <c r="EZ5" i="1"/>
  <c r="EY5" i="1"/>
  <c r="EX5" i="1"/>
  <c r="FA5" i="1" s="1"/>
  <c r="EW5" i="1"/>
  <c r="EV5" i="1"/>
  <c r="EU5" i="1"/>
  <c r="ET5" i="1"/>
  <c r="ES5" i="1"/>
  <c r="EZ4" i="1"/>
  <c r="EY4" i="1"/>
  <c r="EX4" i="1"/>
  <c r="FA4" i="1" s="1"/>
  <c r="EW4" i="1"/>
  <c r="EV4" i="1"/>
  <c r="EU4" i="1"/>
  <c r="ET4" i="1"/>
  <c r="ES4" i="1"/>
  <c r="EZ3" i="1"/>
  <c r="EY3" i="1"/>
  <c r="EX3" i="1"/>
  <c r="FA3" i="1" s="1"/>
  <c r="EW3" i="1"/>
  <c r="EV3" i="1"/>
  <c r="EU3" i="1"/>
  <c r="ET3" i="1"/>
  <c r="ES3" i="1"/>
  <c r="R2" i="2"/>
  <c r="N430" i="2"/>
  <c r="J430" i="2"/>
  <c r="N429" i="2"/>
  <c r="J429" i="2"/>
  <c r="K429" i="2" s="1"/>
  <c r="N428" i="2"/>
  <c r="J428" i="2"/>
  <c r="N427" i="2"/>
  <c r="J427" i="2"/>
  <c r="N426" i="2"/>
  <c r="J426" i="2"/>
  <c r="K426" i="2" s="1"/>
  <c r="N425" i="2"/>
  <c r="J425" i="2"/>
  <c r="N424" i="2"/>
  <c r="J424" i="2"/>
  <c r="K424" i="2" s="1"/>
  <c r="N423" i="2"/>
  <c r="J423" i="2"/>
  <c r="N422" i="2"/>
  <c r="J422" i="2"/>
  <c r="K422" i="2" s="1"/>
  <c r="N421" i="2"/>
  <c r="J421" i="2"/>
  <c r="N420" i="2"/>
  <c r="J420" i="2"/>
  <c r="K420" i="2" s="1"/>
  <c r="N419" i="2"/>
  <c r="J419" i="2"/>
  <c r="K419" i="2" s="1"/>
  <c r="N418" i="2"/>
  <c r="J418" i="2"/>
  <c r="K418" i="2" s="1"/>
  <c r="N417" i="2"/>
  <c r="J417" i="2"/>
  <c r="K417" i="2" s="1"/>
  <c r="N416" i="2"/>
  <c r="J416" i="2"/>
  <c r="K416" i="2" s="1"/>
  <c r="N415" i="2"/>
  <c r="J415" i="2"/>
  <c r="K415" i="2" s="1"/>
  <c r="N414" i="2"/>
  <c r="J414" i="2"/>
  <c r="N413" i="2"/>
  <c r="J413" i="2"/>
  <c r="N412" i="2"/>
  <c r="J412" i="2"/>
  <c r="N411" i="2"/>
  <c r="J411" i="2"/>
  <c r="K411" i="2" s="1"/>
  <c r="N410" i="2"/>
  <c r="J410" i="2"/>
  <c r="K410" i="2" s="1"/>
  <c r="N409" i="2"/>
  <c r="J409" i="2"/>
  <c r="N408" i="2"/>
  <c r="J408" i="2"/>
  <c r="K408" i="2" s="1"/>
  <c r="N407" i="2"/>
  <c r="J407" i="2"/>
  <c r="N406" i="2"/>
  <c r="J406" i="2"/>
  <c r="K406" i="2" s="1"/>
  <c r="N405" i="2"/>
  <c r="J405" i="2"/>
  <c r="N404" i="2"/>
  <c r="J404" i="2"/>
  <c r="N403" i="2"/>
  <c r="J403" i="2"/>
  <c r="N402" i="2"/>
  <c r="J402" i="2"/>
  <c r="K402" i="2" s="1"/>
  <c r="N401" i="2"/>
  <c r="J401" i="2"/>
  <c r="N400" i="2"/>
  <c r="J400" i="2"/>
  <c r="N399" i="2"/>
  <c r="J399" i="2"/>
  <c r="N398" i="2"/>
  <c r="J398" i="2"/>
  <c r="N397" i="2"/>
  <c r="J397" i="2"/>
  <c r="N396" i="2"/>
  <c r="J396" i="2"/>
  <c r="N395" i="2"/>
  <c r="J395" i="2"/>
  <c r="K395" i="2" s="1"/>
  <c r="N394" i="2"/>
  <c r="J394" i="2"/>
  <c r="N393" i="2"/>
  <c r="J393" i="2"/>
  <c r="N392" i="2"/>
  <c r="J392" i="2"/>
  <c r="K392" i="2" s="1"/>
  <c r="N391" i="2"/>
  <c r="J391" i="2"/>
  <c r="N390" i="2"/>
  <c r="J390" i="2"/>
  <c r="K390" i="2" s="1"/>
  <c r="N389" i="2"/>
  <c r="J389" i="2"/>
  <c r="K389" i="2" s="1"/>
  <c r="N388" i="2"/>
  <c r="J388" i="2"/>
  <c r="N387" i="2"/>
  <c r="J387" i="2"/>
  <c r="K387" i="2" s="1"/>
  <c r="N386" i="2"/>
  <c r="J386" i="2"/>
  <c r="N385" i="2"/>
  <c r="J385" i="2"/>
  <c r="K385" i="2" s="1"/>
  <c r="N384" i="2"/>
  <c r="J384" i="2"/>
  <c r="K384" i="2" s="1"/>
  <c r="N383" i="2"/>
  <c r="J383" i="2"/>
  <c r="N382" i="2"/>
  <c r="J382" i="2"/>
  <c r="N381" i="2"/>
  <c r="J381" i="2"/>
  <c r="N380" i="2"/>
  <c r="J380" i="2"/>
  <c r="N379" i="2"/>
  <c r="J379" i="2"/>
  <c r="N378" i="2"/>
  <c r="J378" i="2"/>
  <c r="N377" i="2"/>
  <c r="J377" i="2"/>
  <c r="N376" i="2"/>
  <c r="J376" i="2"/>
  <c r="N375" i="2"/>
  <c r="J375" i="2"/>
  <c r="K375" i="2" s="1"/>
  <c r="N374" i="2"/>
  <c r="J374" i="2"/>
  <c r="N373" i="2"/>
  <c r="J373" i="2"/>
  <c r="K373" i="2" s="1"/>
  <c r="N372" i="2"/>
  <c r="J372" i="2"/>
  <c r="N371" i="2"/>
  <c r="J371" i="2"/>
  <c r="N370" i="2"/>
  <c r="J370" i="2"/>
  <c r="N369" i="2"/>
  <c r="J369" i="2"/>
  <c r="N368" i="2"/>
  <c r="J368" i="2"/>
  <c r="N367" i="2"/>
  <c r="J367" i="2"/>
  <c r="N366" i="2"/>
  <c r="J366" i="2"/>
  <c r="N365" i="2"/>
  <c r="J365" i="2"/>
  <c r="K365" i="2" s="1"/>
  <c r="N364" i="2"/>
  <c r="J364" i="2"/>
  <c r="K364" i="2" s="1"/>
  <c r="N363" i="2"/>
  <c r="J363" i="2"/>
  <c r="K363" i="2" s="1"/>
  <c r="N362" i="2"/>
  <c r="J362" i="2"/>
  <c r="N361" i="2"/>
  <c r="J361" i="2"/>
  <c r="K361" i="2" s="1"/>
  <c r="N360" i="2"/>
  <c r="J360" i="2"/>
  <c r="N359" i="2"/>
  <c r="J359" i="2"/>
  <c r="K359" i="2" s="1"/>
  <c r="N358" i="2"/>
  <c r="J358" i="2"/>
  <c r="N357" i="2"/>
  <c r="J357" i="2"/>
  <c r="N356" i="2"/>
  <c r="J356" i="2"/>
  <c r="N355" i="2"/>
  <c r="J355" i="2"/>
  <c r="N354" i="2"/>
  <c r="J354" i="2"/>
  <c r="K354" i="2" s="1"/>
  <c r="N353" i="2"/>
  <c r="J353" i="2"/>
  <c r="K353" i="2" s="1"/>
  <c r="N352" i="2"/>
  <c r="J352" i="2"/>
  <c r="N351" i="2"/>
  <c r="J351" i="2"/>
  <c r="K351" i="2" s="1"/>
  <c r="N350" i="2"/>
  <c r="J350" i="2"/>
  <c r="K350" i="2" s="1"/>
  <c r="N349" i="2"/>
  <c r="J349" i="2"/>
  <c r="N348" i="2"/>
  <c r="J348" i="2"/>
  <c r="N347" i="2"/>
  <c r="J347" i="2"/>
  <c r="N346" i="2"/>
  <c r="J346" i="2"/>
  <c r="N345" i="2"/>
  <c r="J345" i="2"/>
  <c r="N344" i="2"/>
  <c r="J344" i="2"/>
  <c r="K344" i="2" s="1"/>
  <c r="N343" i="2"/>
  <c r="J343" i="2"/>
  <c r="N342" i="2"/>
  <c r="J342" i="2"/>
  <c r="K342" i="2" s="1"/>
  <c r="N341" i="2"/>
  <c r="J341" i="2"/>
  <c r="N340" i="2"/>
  <c r="J340" i="2"/>
  <c r="N339" i="2"/>
  <c r="J339" i="2"/>
  <c r="N338" i="2"/>
  <c r="J338" i="2"/>
  <c r="N337" i="2"/>
  <c r="J337" i="2"/>
  <c r="K337" i="2" s="1"/>
  <c r="N336" i="2"/>
  <c r="J336" i="2"/>
  <c r="K336" i="2" s="1"/>
  <c r="N335" i="2"/>
  <c r="J335" i="2"/>
  <c r="K335" i="2" s="1"/>
  <c r="N334" i="2"/>
  <c r="J334" i="2"/>
  <c r="K334" i="2" s="1"/>
  <c r="N333" i="2"/>
  <c r="J333" i="2"/>
  <c r="K333" i="2" s="1"/>
  <c r="N332" i="2"/>
  <c r="J332" i="2"/>
  <c r="N331" i="2"/>
  <c r="J331" i="2"/>
  <c r="K331" i="2" s="1"/>
  <c r="N330" i="2"/>
  <c r="J330" i="2"/>
  <c r="N329" i="2"/>
  <c r="J329" i="2"/>
  <c r="N328" i="2"/>
  <c r="J328" i="2"/>
  <c r="N327" i="2"/>
  <c r="J327" i="2"/>
  <c r="N326" i="2"/>
  <c r="J326" i="2"/>
  <c r="N325" i="2"/>
  <c r="J325" i="2"/>
  <c r="N324" i="2"/>
  <c r="J324" i="2"/>
  <c r="N323" i="2"/>
  <c r="J323" i="2"/>
  <c r="N322" i="2"/>
  <c r="J322" i="2"/>
  <c r="K322" i="2" s="1"/>
  <c r="N321" i="2"/>
  <c r="J321" i="2"/>
  <c r="N320" i="2"/>
  <c r="J320" i="2"/>
  <c r="N319" i="2"/>
  <c r="J319" i="2"/>
  <c r="N318" i="2"/>
  <c r="J318" i="2"/>
  <c r="N317" i="2"/>
  <c r="J317" i="2"/>
  <c r="N316" i="2"/>
  <c r="J316" i="2"/>
  <c r="N315" i="2"/>
  <c r="J315" i="2"/>
  <c r="K315" i="2" s="1"/>
  <c r="N314" i="2"/>
  <c r="J314" i="2"/>
  <c r="N313" i="2"/>
  <c r="J313" i="2"/>
  <c r="N312" i="2"/>
  <c r="J312" i="2"/>
  <c r="K312" i="2" s="1"/>
  <c r="N311" i="2"/>
  <c r="J311" i="2"/>
  <c r="K311" i="2" s="1"/>
  <c r="N310" i="2"/>
  <c r="J310" i="2"/>
  <c r="N309" i="2"/>
  <c r="J309" i="2"/>
  <c r="K309" i="2" s="1"/>
  <c r="N308" i="2"/>
  <c r="J308" i="2"/>
  <c r="K308" i="2" s="1"/>
  <c r="N307" i="2"/>
  <c r="J307" i="2"/>
  <c r="N306" i="2"/>
  <c r="J306" i="2"/>
  <c r="N305" i="2"/>
  <c r="J305" i="2"/>
  <c r="K305" i="2" s="1"/>
  <c r="N304" i="2"/>
  <c r="J304" i="2"/>
  <c r="N303" i="2"/>
  <c r="J303" i="2"/>
  <c r="N302" i="2"/>
  <c r="J302" i="2"/>
  <c r="K302" i="2" s="1"/>
  <c r="N301" i="2"/>
  <c r="J301" i="2"/>
  <c r="N300" i="2"/>
  <c r="J300" i="2"/>
  <c r="N299" i="2"/>
  <c r="J299" i="2"/>
  <c r="N298" i="2"/>
  <c r="J298" i="2"/>
  <c r="K298" i="2" s="1"/>
  <c r="N297" i="2"/>
  <c r="J297" i="2"/>
  <c r="K297" i="2" s="1"/>
  <c r="N296" i="2"/>
  <c r="J296" i="2"/>
  <c r="N295" i="2"/>
  <c r="J295" i="2"/>
  <c r="N294" i="2"/>
  <c r="J294" i="2"/>
  <c r="N293" i="2"/>
  <c r="J293" i="2"/>
  <c r="K293" i="2" s="1"/>
  <c r="N292" i="2"/>
  <c r="J292" i="2"/>
  <c r="K292" i="2" s="1"/>
  <c r="N291" i="2"/>
  <c r="J291" i="2"/>
  <c r="K291" i="2" s="1"/>
  <c r="N290" i="2"/>
  <c r="J290" i="2"/>
  <c r="K290" i="2" s="1"/>
  <c r="N289" i="2"/>
  <c r="J289" i="2"/>
  <c r="K289" i="2" s="1"/>
  <c r="N288" i="2"/>
  <c r="J288" i="2"/>
  <c r="K288" i="2" s="1"/>
  <c r="N287" i="2"/>
  <c r="J287" i="2"/>
  <c r="K287" i="2" s="1"/>
  <c r="N286" i="2"/>
  <c r="J286" i="2"/>
  <c r="N285" i="2"/>
  <c r="J285" i="2"/>
  <c r="N284" i="2"/>
  <c r="J284" i="2"/>
  <c r="N283" i="2"/>
  <c r="J283" i="2"/>
  <c r="K283" i="2" s="1"/>
  <c r="N282" i="2"/>
  <c r="J282" i="2"/>
  <c r="K282" i="2" s="1"/>
  <c r="N281" i="2"/>
  <c r="J281" i="2"/>
  <c r="K281" i="2" s="1"/>
  <c r="N280" i="2"/>
  <c r="J280" i="2"/>
  <c r="K280" i="2" s="1"/>
  <c r="N279" i="2"/>
  <c r="J279" i="2"/>
  <c r="N278" i="2"/>
  <c r="J278" i="2"/>
  <c r="N277" i="2"/>
  <c r="J277" i="2"/>
  <c r="K277" i="2" s="1"/>
  <c r="N276" i="2"/>
  <c r="J276" i="2"/>
  <c r="K276" i="2" s="1"/>
  <c r="N275" i="2"/>
  <c r="J275" i="2"/>
  <c r="N274" i="2"/>
  <c r="J274" i="2"/>
  <c r="N273" i="2"/>
  <c r="J273" i="2"/>
  <c r="K273" i="2" s="1"/>
  <c r="N272" i="2"/>
  <c r="J272" i="2"/>
  <c r="N271" i="2"/>
  <c r="J271" i="2"/>
  <c r="N270" i="2"/>
  <c r="J270" i="2"/>
  <c r="N269" i="2"/>
  <c r="J269" i="2"/>
  <c r="N268" i="2"/>
  <c r="J268" i="2"/>
  <c r="N267" i="2"/>
  <c r="J267" i="2"/>
  <c r="N266" i="2"/>
  <c r="J266" i="2"/>
  <c r="N265" i="2"/>
  <c r="J265" i="2"/>
  <c r="N264" i="2"/>
  <c r="J264" i="2"/>
  <c r="N263" i="2"/>
  <c r="J263" i="2"/>
  <c r="N262" i="2"/>
  <c r="J262" i="2"/>
  <c r="K262" i="2" s="1"/>
  <c r="N261" i="2"/>
  <c r="J261" i="2"/>
  <c r="N260" i="2"/>
  <c r="J260" i="2"/>
  <c r="K260" i="2" s="1"/>
  <c r="N259" i="2"/>
  <c r="J259" i="2"/>
  <c r="K259" i="2" s="1"/>
  <c r="N258" i="2"/>
  <c r="J258" i="2"/>
  <c r="K258" i="2" s="1"/>
  <c r="N257" i="2"/>
  <c r="J257" i="2"/>
  <c r="N256" i="2"/>
  <c r="J256" i="2"/>
  <c r="N255" i="2"/>
  <c r="J255" i="2"/>
  <c r="K255" i="2" s="1"/>
  <c r="N254" i="2"/>
  <c r="J254" i="2"/>
  <c r="N253" i="2"/>
  <c r="J253" i="2"/>
  <c r="N252" i="2"/>
  <c r="J252" i="2"/>
  <c r="K252" i="2" s="1"/>
  <c r="N251" i="2"/>
  <c r="J251" i="2"/>
  <c r="N250" i="2"/>
  <c r="J250" i="2"/>
  <c r="K250" i="2" s="1"/>
  <c r="N249" i="2"/>
  <c r="J249" i="2"/>
  <c r="N248" i="2"/>
  <c r="J248" i="2"/>
  <c r="K248" i="2" s="1"/>
  <c r="N247" i="2"/>
  <c r="J247" i="2"/>
  <c r="K247" i="2" s="1"/>
  <c r="N246" i="2"/>
  <c r="J246" i="2"/>
  <c r="K246" i="2" s="1"/>
  <c r="N245" i="2"/>
  <c r="J245" i="2"/>
  <c r="N244" i="2"/>
  <c r="J244" i="2"/>
  <c r="K244" i="2" s="1"/>
  <c r="N243" i="2"/>
  <c r="J243" i="2"/>
  <c r="N242" i="2"/>
  <c r="J242" i="2"/>
  <c r="N241" i="2"/>
  <c r="J241" i="2"/>
  <c r="N240" i="2"/>
  <c r="J240" i="2"/>
  <c r="K240" i="2" s="1"/>
  <c r="N239" i="2"/>
  <c r="J239" i="2"/>
  <c r="K239" i="2" s="1"/>
  <c r="N238" i="2"/>
  <c r="J238" i="2"/>
  <c r="K238" i="2" s="1"/>
  <c r="N237" i="2"/>
  <c r="J237" i="2"/>
  <c r="N236" i="2"/>
  <c r="J236" i="2"/>
  <c r="K236" i="2" s="1"/>
  <c r="N235" i="2"/>
  <c r="J235" i="2"/>
  <c r="N234" i="2"/>
  <c r="J234" i="2"/>
  <c r="N233" i="2"/>
  <c r="J233" i="2"/>
  <c r="N232" i="2"/>
  <c r="J232" i="2"/>
  <c r="K232" i="2" s="1"/>
  <c r="N231" i="2"/>
  <c r="J231" i="2"/>
  <c r="K231" i="2" s="1"/>
  <c r="N230" i="2"/>
  <c r="J230" i="2"/>
  <c r="N229" i="2"/>
  <c r="J229" i="2"/>
  <c r="N228" i="2"/>
  <c r="J228" i="2"/>
  <c r="N227" i="2"/>
  <c r="J227" i="2"/>
  <c r="K227" i="2" s="1"/>
  <c r="N226" i="2"/>
  <c r="J226" i="2"/>
  <c r="N225" i="2"/>
  <c r="J225" i="2"/>
  <c r="K225" i="2" s="1"/>
  <c r="N224" i="2"/>
  <c r="J224" i="2"/>
  <c r="N223" i="2"/>
  <c r="J223" i="2"/>
  <c r="K223" i="2" s="1"/>
  <c r="N222" i="2"/>
  <c r="J222" i="2"/>
  <c r="K222" i="2" s="1"/>
  <c r="N221" i="2"/>
  <c r="J221" i="2"/>
  <c r="N220" i="2"/>
  <c r="J220" i="2"/>
  <c r="N219" i="2"/>
  <c r="J219" i="2"/>
  <c r="N218" i="2"/>
  <c r="J218" i="2"/>
  <c r="N217" i="2"/>
  <c r="J217" i="2"/>
  <c r="K217" i="2" s="1"/>
  <c r="N216" i="2"/>
  <c r="J216" i="2"/>
  <c r="N215" i="2"/>
  <c r="J215" i="2"/>
  <c r="N214" i="2"/>
  <c r="J214" i="2"/>
  <c r="N213" i="2"/>
  <c r="J213" i="2"/>
  <c r="K213" i="2" s="1"/>
  <c r="N212" i="2"/>
  <c r="J212" i="2"/>
  <c r="K212" i="2" s="1"/>
  <c r="N211" i="2"/>
  <c r="J211" i="2"/>
  <c r="N210" i="2"/>
  <c r="J210" i="2"/>
  <c r="N209" i="2"/>
  <c r="J209" i="2"/>
  <c r="N208" i="2"/>
  <c r="J208" i="2"/>
  <c r="N207" i="2"/>
  <c r="J207" i="2"/>
  <c r="N206" i="2"/>
  <c r="J206" i="2"/>
  <c r="N205" i="2"/>
  <c r="J205" i="2"/>
  <c r="N204" i="2"/>
  <c r="J204" i="2"/>
  <c r="K204" i="2" s="1"/>
  <c r="N203" i="2"/>
  <c r="J203" i="2"/>
  <c r="K203" i="2" s="1"/>
  <c r="N202" i="2"/>
  <c r="J202" i="2"/>
  <c r="N201" i="2"/>
  <c r="J201" i="2"/>
  <c r="N200" i="2"/>
  <c r="J200" i="2"/>
  <c r="N199" i="2"/>
  <c r="J199" i="2"/>
  <c r="K199" i="2" s="1"/>
  <c r="N198" i="2"/>
  <c r="J198" i="2"/>
  <c r="K198" i="2" s="1"/>
  <c r="N197" i="2"/>
  <c r="J197" i="2"/>
  <c r="N196" i="2"/>
  <c r="J196" i="2"/>
  <c r="N195" i="2"/>
  <c r="J195" i="2"/>
  <c r="N194" i="2"/>
  <c r="J194" i="2"/>
  <c r="N193" i="2"/>
  <c r="J193" i="2"/>
  <c r="K193" i="2" s="1"/>
  <c r="N192" i="2"/>
  <c r="J192" i="2"/>
  <c r="K192" i="2" s="1"/>
  <c r="N191" i="2"/>
  <c r="J191" i="2"/>
  <c r="N190" i="2"/>
  <c r="J190" i="2"/>
  <c r="K190" i="2" s="1"/>
  <c r="N189" i="2"/>
  <c r="J189" i="2"/>
  <c r="N188" i="2"/>
  <c r="J188" i="2"/>
  <c r="K188" i="2" s="1"/>
  <c r="N187" i="2"/>
  <c r="J187" i="2"/>
  <c r="N186" i="2"/>
  <c r="J186" i="2"/>
  <c r="N185" i="2"/>
  <c r="J185" i="2"/>
  <c r="N184" i="2"/>
  <c r="J184" i="2"/>
  <c r="K184" i="2" s="1"/>
  <c r="N183" i="2"/>
  <c r="J183" i="2"/>
  <c r="N182" i="2"/>
  <c r="J182" i="2"/>
  <c r="N181" i="2"/>
  <c r="J181" i="2"/>
  <c r="N180" i="2"/>
  <c r="J180" i="2"/>
  <c r="N179" i="2"/>
  <c r="J179" i="2"/>
  <c r="K179" i="2" s="1"/>
  <c r="N178" i="2"/>
  <c r="J178" i="2"/>
  <c r="K178" i="2" s="1"/>
  <c r="N177" i="2"/>
  <c r="J177" i="2"/>
  <c r="K177" i="2" s="1"/>
  <c r="N176" i="2"/>
  <c r="J176" i="2"/>
  <c r="K176" i="2" s="1"/>
  <c r="N175" i="2"/>
  <c r="J175" i="2"/>
  <c r="K175" i="2" s="1"/>
  <c r="N174" i="2"/>
  <c r="J174" i="2"/>
  <c r="N173" i="2"/>
  <c r="J173" i="2"/>
  <c r="N172" i="2"/>
  <c r="J172" i="2"/>
  <c r="N171" i="2"/>
  <c r="J171" i="2"/>
  <c r="N170" i="2"/>
  <c r="J170" i="2"/>
  <c r="N169" i="2"/>
  <c r="J169" i="2"/>
  <c r="N168" i="2"/>
  <c r="J168" i="2"/>
  <c r="K168" i="2" s="1"/>
  <c r="N167" i="2"/>
  <c r="J167" i="2"/>
  <c r="K167" i="2" s="1"/>
  <c r="N166" i="2"/>
  <c r="J166" i="2"/>
  <c r="K166" i="2" s="1"/>
  <c r="N165" i="2"/>
  <c r="J165" i="2"/>
  <c r="N164" i="2"/>
  <c r="J164" i="2"/>
  <c r="N163" i="2"/>
  <c r="J163" i="2"/>
  <c r="N162" i="2"/>
  <c r="J162" i="2"/>
  <c r="N161" i="2"/>
  <c r="J161" i="2"/>
  <c r="N160" i="2"/>
  <c r="J160" i="2"/>
  <c r="N159" i="2"/>
  <c r="J159" i="2"/>
  <c r="N158" i="2"/>
  <c r="J158" i="2"/>
  <c r="K158" i="2" s="1"/>
  <c r="N157" i="2"/>
  <c r="J157" i="2"/>
  <c r="N156" i="2"/>
  <c r="J156" i="2"/>
  <c r="N155" i="2"/>
  <c r="J155" i="2"/>
  <c r="N154" i="2"/>
  <c r="J154" i="2"/>
  <c r="N153" i="2"/>
  <c r="J153" i="2"/>
  <c r="N152" i="2"/>
  <c r="J152" i="2"/>
  <c r="K152" i="2" s="1"/>
  <c r="N151" i="2"/>
  <c r="J151" i="2"/>
  <c r="N150" i="2"/>
  <c r="J150" i="2"/>
  <c r="N149" i="2"/>
  <c r="J149" i="2"/>
  <c r="N148" i="2"/>
  <c r="J148" i="2"/>
  <c r="N147" i="2"/>
  <c r="J147" i="2"/>
  <c r="N146" i="2"/>
  <c r="J146" i="2"/>
  <c r="N145" i="2"/>
  <c r="J145" i="2"/>
  <c r="K145" i="2" s="1"/>
  <c r="N144" i="2"/>
  <c r="J144" i="2"/>
  <c r="K144" i="2" s="1"/>
  <c r="N143" i="2"/>
  <c r="J143" i="2"/>
  <c r="N142" i="2"/>
  <c r="J142" i="2"/>
  <c r="K142" i="2" s="1"/>
  <c r="N141" i="2"/>
  <c r="J141" i="2"/>
  <c r="N140" i="2"/>
  <c r="J140" i="2"/>
  <c r="K140" i="2" s="1"/>
  <c r="N139" i="2"/>
  <c r="J139" i="2"/>
  <c r="N138" i="2"/>
  <c r="J138" i="2"/>
  <c r="K138" i="2" s="1"/>
  <c r="N137" i="2"/>
  <c r="J137" i="2"/>
  <c r="N136" i="2"/>
  <c r="J136" i="2"/>
  <c r="N135" i="2"/>
  <c r="J135" i="2"/>
  <c r="K135" i="2" s="1"/>
  <c r="N134" i="2"/>
  <c r="J134" i="2"/>
  <c r="N133" i="2"/>
  <c r="J133" i="2"/>
  <c r="K133" i="2" s="1"/>
  <c r="N132" i="2"/>
  <c r="J132" i="2"/>
  <c r="K132" i="2" s="1"/>
  <c r="N131" i="2"/>
  <c r="J131" i="2"/>
  <c r="K131" i="2" s="1"/>
  <c r="N130" i="2"/>
  <c r="J130" i="2"/>
  <c r="K130" i="2" s="1"/>
  <c r="N129" i="2"/>
  <c r="J129" i="2"/>
  <c r="N128" i="2"/>
  <c r="J128" i="2"/>
  <c r="N127" i="2"/>
  <c r="J127" i="2"/>
  <c r="N126" i="2"/>
  <c r="J126" i="2"/>
  <c r="K126" i="2" s="1"/>
  <c r="N125" i="2"/>
  <c r="J125" i="2"/>
  <c r="N124" i="2"/>
  <c r="J124" i="2"/>
  <c r="N123" i="2"/>
  <c r="J123" i="2"/>
  <c r="K123" i="2" s="1"/>
  <c r="N122" i="2"/>
  <c r="J122" i="2"/>
  <c r="K122" i="2" s="1"/>
  <c r="N121" i="2"/>
  <c r="J121" i="2"/>
  <c r="K121" i="2" s="1"/>
  <c r="N120" i="2"/>
  <c r="J120" i="2"/>
  <c r="N119" i="2"/>
  <c r="J119" i="2"/>
  <c r="K119" i="2" s="1"/>
  <c r="N118" i="2"/>
  <c r="J118" i="2"/>
  <c r="N117" i="2"/>
  <c r="J117" i="2"/>
  <c r="K117" i="2" s="1"/>
  <c r="N116" i="2"/>
  <c r="J116" i="2"/>
  <c r="N115" i="2"/>
  <c r="J115" i="2"/>
  <c r="N114" i="2"/>
  <c r="J114" i="2"/>
  <c r="N113" i="2"/>
  <c r="J113" i="2"/>
  <c r="N112" i="2"/>
  <c r="J112" i="2"/>
  <c r="N111" i="2"/>
  <c r="J111" i="2"/>
  <c r="N110" i="2"/>
  <c r="J110" i="2"/>
  <c r="N109" i="2"/>
  <c r="J109" i="2"/>
  <c r="N108" i="2"/>
  <c r="J108" i="2"/>
  <c r="K108" i="2" s="1"/>
  <c r="N107" i="2"/>
  <c r="J107" i="2"/>
  <c r="K107" i="2" s="1"/>
  <c r="N106" i="2"/>
  <c r="J106" i="2"/>
  <c r="K106" i="2" s="1"/>
  <c r="N105" i="2"/>
  <c r="J105" i="2"/>
  <c r="K105" i="2" s="1"/>
  <c r="N104" i="2"/>
  <c r="J104" i="2"/>
  <c r="N103" i="2"/>
  <c r="J103" i="2"/>
  <c r="K103" i="2" s="1"/>
  <c r="N102" i="2"/>
  <c r="J102" i="2"/>
  <c r="K102" i="2" s="1"/>
  <c r="N101" i="2"/>
  <c r="J101" i="2"/>
  <c r="K101" i="2" s="1"/>
  <c r="N100" i="2"/>
  <c r="J100" i="2"/>
  <c r="K100" i="2" s="1"/>
  <c r="N99" i="2"/>
  <c r="J99" i="2"/>
  <c r="N98" i="2"/>
  <c r="J98" i="2"/>
  <c r="N97" i="2"/>
  <c r="J97" i="2"/>
  <c r="K97" i="2" s="1"/>
  <c r="N96" i="2"/>
  <c r="J96" i="2"/>
  <c r="K96" i="2" s="1"/>
  <c r="N95" i="2"/>
  <c r="J95" i="2"/>
  <c r="K95" i="2" s="1"/>
  <c r="N94" i="2"/>
  <c r="J94" i="2"/>
  <c r="N93" i="2"/>
  <c r="J93" i="2"/>
  <c r="K93" i="2" s="1"/>
  <c r="N92" i="2"/>
  <c r="J92" i="2"/>
  <c r="K92" i="2" s="1"/>
  <c r="N91" i="2"/>
  <c r="J91" i="2"/>
  <c r="N90" i="2"/>
  <c r="J90" i="2"/>
  <c r="N89" i="2"/>
  <c r="J89" i="2"/>
  <c r="K89" i="2" s="1"/>
  <c r="N88" i="2"/>
  <c r="J88" i="2"/>
  <c r="N87" i="2"/>
  <c r="J87" i="2"/>
  <c r="K87" i="2" s="1"/>
  <c r="N86" i="2"/>
  <c r="J86" i="2"/>
  <c r="N85" i="2"/>
  <c r="J85" i="2"/>
  <c r="N84" i="2"/>
  <c r="J84" i="2"/>
  <c r="N83" i="2"/>
  <c r="J83" i="2"/>
  <c r="N82" i="2"/>
  <c r="J82" i="2"/>
  <c r="N81" i="2"/>
  <c r="J81" i="2"/>
  <c r="K81" i="2" s="1"/>
  <c r="N80" i="2"/>
  <c r="J80" i="2"/>
  <c r="N79" i="2"/>
  <c r="J79" i="2"/>
  <c r="K79" i="2" s="1"/>
  <c r="N78" i="2"/>
  <c r="J78" i="2"/>
  <c r="N77" i="2"/>
  <c r="J77" i="2"/>
  <c r="K77" i="2" s="1"/>
  <c r="N76" i="2"/>
  <c r="J76" i="2"/>
  <c r="N75" i="2"/>
  <c r="J75" i="2"/>
  <c r="K75" i="2" s="1"/>
  <c r="N74" i="2"/>
  <c r="J74" i="2"/>
  <c r="K74" i="2" s="1"/>
  <c r="N73" i="2"/>
  <c r="J73" i="2"/>
  <c r="K73" i="2" s="1"/>
  <c r="N72" i="2"/>
  <c r="J72" i="2"/>
  <c r="K72" i="2" s="1"/>
  <c r="N71" i="2"/>
  <c r="J71" i="2"/>
  <c r="N70" i="2"/>
  <c r="J70" i="2"/>
  <c r="N69" i="2"/>
  <c r="J69" i="2"/>
  <c r="N68" i="2"/>
  <c r="J68" i="2"/>
  <c r="N67" i="2"/>
  <c r="J67" i="2"/>
  <c r="N66" i="2"/>
  <c r="J66" i="2"/>
  <c r="N65" i="2"/>
  <c r="J65" i="2"/>
  <c r="K65" i="2" s="1"/>
  <c r="N64" i="2"/>
  <c r="J64" i="2"/>
  <c r="N63" i="2"/>
  <c r="J63" i="2"/>
  <c r="N62" i="2"/>
  <c r="J62" i="2"/>
  <c r="N61" i="2"/>
  <c r="J61" i="2"/>
  <c r="K61" i="2" s="1"/>
  <c r="N60" i="2"/>
  <c r="J60" i="2"/>
  <c r="N59" i="2"/>
  <c r="J59" i="2"/>
  <c r="K59" i="2" s="1"/>
  <c r="N58" i="2"/>
  <c r="J58" i="2"/>
  <c r="K58" i="2" s="1"/>
  <c r="N57" i="2"/>
  <c r="J57" i="2"/>
  <c r="N56" i="2"/>
  <c r="J56" i="2"/>
  <c r="N55" i="2"/>
  <c r="J55" i="2"/>
  <c r="K55" i="2" s="1"/>
  <c r="N54" i="2"/>
  <c r="J54" i="2"/>
  <c r="N53" i="2"/>
  <c r="J53" i="2"/>
  <c r="K53" i="2" s="1"/>
  <c r="N52" i="2"/>
  <c r="J52" i="2"/>
  <c r="K52" i="2" s="1"/>
  <c r="N51" i="2"/>
  <c r="J51" i="2"/>
  <c r="K51" i="2" s="1"/>
  <c r="N50" i="2"/>
  <c r="J50" i="2"/>
  <c r="K50" i="2" s="1"/>
  <c r="N49" i="2"/>
  <c r="J49" i="2"/>
  <c r="K49" i="2" s="1"/>
  <c r="N48" i="2"/>
  <c r="J48" i="2"/>
  <c r="K48" i="2" s="1"/>
  <c r="N47" i="2"/>
  <c r="J47" i="2"/>
  <c r="N46" i="2"/>
  <c r="J46" i="2"/>
  <c r="N45" i="2"/>
  <c r="J45" i="2"/>
  <c r="K45" i="2" s="1"/>
  <c r="N44" i="2"/>
  <c r="J44" i="2"/>
  <c r="N43" i="2"/>
  <c r="J43" i="2"/>
  <c r="N42" i="2"/>
  <c r="J42" i="2"/>
  <c r="N41" i="2"/>
  <c r="J41" i="2"/>
  <c r="N40" i="2"/>
  <c r="J40" i="2"/>
  <c r="K40" i="2" s="1"/>
  <c r="N39" i="2"/>
  <c r="J39" i="2"/>
  <c r="K39" i="2" s="1"/>
  <c r="N38" i="2"/>
  <c r="J38" i="2"/>
  <c r="K38" i="2" s="1"/>
  <c r="N37" i="2"/>
  <c r="J37" i="2"/>
  <c r="N36" i="2"/>
  <c r="J36" i="2"/>
  <c r="N35" i="2"/>
  <c r="J35" i="2"/>
  <c r="N34" i="2"/>
  <c r="J34" i="2"/>
  <c r="N33" i="2"/>
  <c r="J33" i="2"/>
  <c r="N32" i="2"/>
  <c r="J32" i="2"/>
  <c r="K32" i="2" s="1"/>
  <c r="N31" i="2"/>
  <c r="J31" i="2"/>
  <c r="K31" i="2" s="1"/>
  <c r="N30" i="2"/>
  <c r="J30" i="2"/>
  <c r="N29" i="2"/>
  <c r="J29" i="2"/>
  <c r="K29" i="2" s="1"/>
  <c r="N28" i="2"/>
  <c r="J28" i="2"/>
  <c r="K28" i="2" s="1"/>
  <c r="N27" i="2"/>
  <c r="J27" i="2"/>
  <c r="K27" i="2" s="1"/>
  <c r="N26" i="2"/>
  <c r="J26" i="2"/>
  <c r="N25" i="2"/>
  <c r="J25" i="2"/>
  <c r="N24" i="2"/>
  <c r="J24" i="2"/>
  <c r="N23" i="2"/>
  <c r="J23" i="2"/>
  <c r="N22" i="2"/>
  <c r="J22" i="2"/>
  <c r="K22" i="2" s="1"/>
  <c r="N21" i="2"/>
  <c r="J21" i="2"/>
  <c r="N20" i="2"/>
  <c r="J20" i="2"/>
  <c r="K20" i="2" s="1"/>
  <c r="N19" i="2"/>
  <c r="J19" i="2"/>
  <c r="K19" i="2" s="1"/>
  <c r="N18" i="2"/>
  <c r="J18" i="2"/>
  <c r="N17" i="2"/>
  <c r="J17" i="2"/>
  <c r="N16" i="2"/>
  <c r="J16" i="2"/>
  <c r="N15" i="2"/>
  <c r="J15" i="2"/>
  <c r="K15" i="2" s="1"/>
  <c r="N14" i="2"/>
  <c r="J14" i="2"/>
  <c r="K14" i="2" s="1"/>
  <c r="N13" i="2"/>
  <c r="J13" i="2"/>
  <c r="N12" i="2"/>
  <c r="J12" i="2"/>
  <c r="N11" i="2"/>
  <c r="J11" i="2"/>
  <c r="N10" i="2"/>
  <c r="J10" i="2"/>
  <c r="K10" i="2" s="1"/>
  <c r="N9" i="2"/>
  <c r="J9" i="2"/>
  <c r="K9" i="2" s="1"/>
  <c r="N8" i="2"/>
  <c r="J8" i="2"/>
  <c r="K8" i="2" s="1"/>
  <c r="N7" i="2"/>
  <c r="J7" i="2"/>
  <c r="K7" i="2" s="1"/>
  <c r="N6" i="2"/>
  <c r="J6" i="2"/>
  <c r="N5" i="2"/>
  <c r="J5" i="2"/>
  <c r="N4" i="2"/>
  <c r="J4" i="2"/>
  <c r="K4" i="2" s="1"/>
  <c r="N3" i="2"/>
  <c r="J3" i="2"/>
  <c r="N2" i="2"/>
  <c r="J2" i="2"/>
  <c r="DX105" i="1"/>
  <c r="DW105" i="1"/>
  <c r="EB105" i="1" s="1" a="1"/>
  <c r="EB105" i="1" s="1"/>
  <c r="DV105" i="1"/>
  <c r="DU105" i="1"/>
  <c r="EA105" i="1" s="1" a="1"/>
  <c r="EA105" i="1" s="1"/>
  <c r="DT105" i="1"/>
  <c r="DS105" i="1"/>
  <c r="DZ105" i="1" s="1" a="1"/>
  <c r="DZ105" i="1" s="1"/>
  <c r="DR105" i="1"/>
  <c r="DQ105" i="1"/>
  <c r="DY105" i="1" s="1" a="1"/>
  <c r="DY105" i="1" s="1"/>
  <c r="DX104" i="1"/>
  <c r="DW104" i="1"/>
  <c r="EB104" i="1" s="1" a="1"/>
  <c r="EB104" i="1" s="1"/>
  <c r="DV104" i="1"/>
  <c r="DU104" i="1"/>
  <c r="EA104" i="1" s="1" a="1"/>
  <c r="EA104" i="1" s="1"/>
  <c r="DT104" i="1"/>
  <c r="DS104" i="1"/>
  <c r="DZ104" i="1" s="1" a="1"/>
  <c r="DZ104" i="1" s="1"/>
  <c r="DR104" i="1"/>
  <c r="DQ104" i="1"/>
  <c r="DY104" i="1" s="1" a="1"/>
  <c r="DY104" i="1" s="1"/>
  <c r="DX103" i="1"/>
  <c r="DW103" i="1"/>
  <c r="EB103" i="1" s="1" a="1"/>
  <c r="EB103" i="1" s="1"/>
  <c r="DV103" i="1"/>
  <c r="DU103" i="1"/>
  <c r="EA103" i="1" s="1" a="1"/>
  <c r="EA103" i="1" s="1"/>
  <c r="DT103" i="1"/>
  <c r="DS103" i="1"/>
  <c r="DZ103" i="1" s="1" a="1"/>
  <c r="DZ103" i="1" s="1"/>
  <c r="DR103" i="1"/>
  <c r="DQ103" i="1"/>
  <c r="DY103" i="1" s="1" a="1"/>
  <c r="DY103" i="1" s="1"/>
  <c r="DX102" i="1"/>
  <c r="DW102" i="1"/>
  <c r="EB102" i="1" s="1" a="1"/>
  <c r="EB102" i="1" s="1"/>
  <c r="DV102" i="1"/>
  <c r="DU102" i="1"/>
  <c r="EA102" i="1" s="1" a="1"/>
  <c r="EA102" i="1" s="1"/>
  <c r="DT102" i="1"/>
  <c r="DS102" i="1"/>
  <c r="DZ102" i="1" s="1" a="1"/>
  <c r="DZ102" i="1" s="1"/>
  <c r="DR102" i="1"/>
  <c r="DQ102" i="1"/>
  <c r="DY102" i="1" s="1" a="1"/>
  <c r="DY102" i="1" s="1"/>
  <c r="DX101" i="1"/>
  <c r="DW101" i="1"/>
  <c r="EB101" i="1" s="1" a="1"/>
  <c r="EB101" i="1" s="1"/>
  <c r="DV101" i="1"/>
  <c r="DU101" i="1"/>
  <c r="EA101" i="1" s="1" a="1"/>
  <c r="EA101" i="1" s="1"/>
  <c r="DT101" i="1"/>
  <c r="DS101" i="1"/>
  <c r="DZ101" i="1" s="1" a="1"/>
  <c r="DZ101" i="1" s="1"/>
  <c r="DR101" i="1"/>
  <c r="DQ101" i="1"/>
  <c r="DY101" i="1" s="1" a="1"/>
  <c r="DY101" i="1" s="1"/>
  <c r="DX100" i="1"/>
  <c r="DW100" i="1"/>
  <c r="DV100" i="1"/>
  <c r="DU100" i="1"/>
  <c r="EA100" i="1" s="1" a="1"/>
  <c r="EA100" i="1" s="1"/>
  <c r="DT100" i="1"/>
  <c r="DS100" i="1"/>
  <c r="DZ100" i="1" s="1" a="1"/>
  <c r="DZ100" i="1" s="1"/>
  <c r="DR100" i="1"/>
  <c r="DQ100" i="1"/>
  <c r="DY100" i="1" s="1" a="1"/>
  <c r="DY100" i="1" s="1"/>
  <c r="DX99" i="1"/>
  <c r="DW99" i="1"/>
  <c r="DV99" i="1"/>
  <c r="DU99" i="1"/>
  <c r="DT99" i="1"/>
  <c r="DS99" i="1"/>
  <c r="DR99" i="1"/>
  <c r="DQ99" i="1"/>
  <c r="DY99" i="1" s="1" a="1"/>
  <c r="DY99" i="1" s="1"/>
  <c r="DX98" i="1"/>
  <c r="DW98" i="1"/>
  <c r="EB98" i="1" s="1" a="1"/>
  <c r="EB98" i="1" s="1"/>
  <c r="DV98" i="1"/>
  <c r="DU98" i="1"/>
  <c r="EA98" i="1" s="1" a="1"/>
  <c r="EA98" i="1" s="1"/>
  <c r="DT98" i="1"/>
  <c r="DS98" i="1"/>
  <c r="DZ98" i="1" s="1" a="1"/>
  <c r="DZ98" i="1" s="1"/>
  <c r="DR98" i="1"/>
  <c r="DQ98" i="1"/>
  <c r="DY98" i="1" s="1" a="1"/>
  <c r="DY98" i="1" s="1"/>
  <c r="DX97" i="1"/>
  <c r="DW97" i="1"/>
  <c r="EB97" i="1" s="1" a="1"/>
  <c r="EB97" i="1" s="1"/>
  <c r="DV97" i="1"/>
  <c r="DU97" i="1"/>
  <c r="EA97" i="1" s="1" a="1"/>
  <c r="EA97" i="1" s="1"/>
  <c r="DT97" i="1"/>
  <c r="DS97" i="1"/>
  <c r="DZ97" i="1" s="1" a="1"/>
  <c r="DZ97" i="1" s="1"/>
  <c r="DR97" i="1"/>
  <c r="DQ97" i="1"/>
  <c r="DY97" i="1" s="1" a="1"/>
  <c r="DY97" i="1" s="1"/>
  <c r="DX96" i="1"/>
  <c r="DW96" i="1"/>
  <c r="EB96" i="1" s="1" a="1"/>
  <c r="EB96" i="1" s="1"/>
  <c r="DV96" i="1"/>
  <c r="DU96" i="1"/>
  <c r="EA96" i="1" s="1" a="1"/>
  <c r="EA96" i="1" s="1"/>
  <c r="DT96" i="1"/>
  <c r="DS96" i="1"/>
  <c r="DR96" i="1"/>
  <c r="DQ96" i="1"/>
  <c r="DY96" i="1" s="1" a="1"/>
  <c r="DY96" i="1" s="1"/>
  <c r="DX95" i="1"/>
  <c r="DW95" i="1"/>
  <c r="EB95" i="1" s="1" a="1"/>
  <c r="EB95" i="1" s="1"/>
  <c r="DV95" i="1"/>
  <c r="DU95" i="1"/>
  <c r="EA95" i="1" s="1" a="1"/>
  <c r="EA95" i="1" s="1"/>
  <c r="DT95" i="1"/>
  <c r="DS95" i="1"/>
  <c r="DZ95" i="1" s="1" a="1"/>
  <c r="DZ95" i="1" s="1"/>
  <c r="DR95" i="1"/>
  <c r="DQ95" i="1"/>
  <c r="DY95" i="1" s="1" a="1"/>
  <c r="DY95" i="1" s="1"/>
  <c r="DX94" i="1"/>
  <c r="DW94" i="1"/>
  <c r="DV94" i="1"/>
  <c r="DU94" i="1"/>
  <c r="EA94" i="1" s="1" a="1"/>
  <c r="EA94" i="1" s="1"/>
  <c r="DT94" i="1"/>
  <c r="DS94" i="1"/>
  <c r="DZ94" i="1" s="1" a="1"/>
  <c r="DZ94" i="1" s="1"/>
  <c r="DR94" i="1"/>
  <c r="DQ94" i="1"/>
  <c r="DY94" i="1" s="1" a="1"/>
  <c r="DY94" i="1" s="1"/>
  <c r="DX93" i="1"/>
  <c r="DW93" i="1"/>
  <c r="EB93" i="1" s="1" a="1"/>
  <c r="EB93" i="1" s="1"/>
  <c r="DV93" i="1"/>
  <c r="DU93" i="1"/>
  <c r="EA93" i="1" s="1" a="1"/>
  <c r="EA93" i="1" s="1"/>
  <c r="DT93" i="1"/>
  <c r="DS93" i="1"/>
  <c r="DZ93" i="1" s="1" a="1"/>
  <c r="DZ93" i="1" s="1"/>
  <c r="DR93" i="1"/>
  <c r="DQ93" i="1"/>
  <c r="DY93" i="1" s="1" a="1"/>
  <c r="DY93" i="1" s="1"/>
  <c r="DX92" i="1"/>
  <c r="DW92" i="1"/>
  <c r="EB92" i="1" s="1" a="1"/>
  <c r="EB92" i="1" s="1"/>
  <c r="DV92" i="1"/>
  <c r="DU92" i="1"/>
  <c r="EA92" i="1" s="1" a="1"/>
  <c r="EA92" i="1" s="1"/>
  <c r="DT92" i="1"/>
  <c r="DS92" i="1"/>
  <c r="DZ92" i="1" s="1" a="1"/>
  <c r="DZ92" i="1" s="1"/>
  <c r="DR92" i="1"/>
  <c r="DQ92" i="1"/>
  <c r="DY92" i="1" s="1" a="1"/>
  <c r="DY92" i="1" s="1"/>
  <c r="DX91" i="1"/>
  <c r="DW91" i="1"/>
  <c r="EB91" i="1" s="1" a="1"/>
  <c r="EB91" i="1" s="1"/>
  <c r="DV91" i="1"/>
  <c r="DU91" i="1"/>
  <c r="EA91" i="1" s="1" a="1"/>
  <c r="EA91" i="1" s="1"/>
  <c r="DT91" i="1"/>
  <c r="DS91" i="1"/>
  <c r="DZ91" i="1" s="1" a="1"/>
  <c r="DZ91" i="1" s="1"/>
  <c r="DR91" i="1"/>
  <c r="DQ91" i="1"/>
  <c r="DY91" i="1" s="1" a="1"/>
  <c r="DY91" i="1" s="1"/>
  <c r="DX90" i="1"/>
  <c r="DW90" i="1"/>
  <c r="EB90" i="1" s="1" a="1"/>
  <c r="EB90" i="1" s="1"/>
  <c r="DV90" i="1"/>
  <c r="DU90" i="1"/>
  <c r="EA90" i="1" s="1" a="1"/>
  <c r="EA90" i="1" s="1"/>
  <c r="DT90" i="1"/>
  <c r="DS90" i="1"/>
  <c r="DZ90" i="1" s="1" a="1"/>
  <c r="DZ90" i="1" s="1"/>
  <c r="DR90" i="1"/>
  <c r="DQ90" i="1"/>
  <c r="DY90" i="1" s="1" a="1"/>
  <c r="DY90" i="1" s="1"/>
  <c r="DX89" i="1"/>
  <c r="DW89" i="1"/>
  <c r="EB89" i="1" s="1" a="1"/>
  <c r="EB89" i="1" s="1"/>
  <c r="DV89" i="1"/>
  <c r="DU89" i="1"/>
  <c r="EA89" i="1" s="1" a="1"/>
  <c r="EA89" i="1" s="1"/>
  <c r="DT89" i="1"/>
  <c r="DS89" i="1"/>
  <c r="DZ89" i="1" s="1" a="1"/>
  <c r="DZ89" i="1" s="1"/>
  <c r="DR89" i="1"/>
  <c r="DQ89" i="1"/>
  <c r="DY89" i="1" s="1" a="1"/>
  <c r="DY89" i="1" s="1"/>
  <c r="DX88" i="1"/>
  <c r="DW88" i="1"/>
  <c r="EB88" i="1" s="1" a="1"/>
  <c r="EB88" i="1" s="1"/>
  <c r="DV88" i="1"/>
  <c r="DU88" i="1"/>
  <c r="EA88" i="1" s="1" a="1"/>
  <c r="EA88" i="1" s="1"/>
  <c r="DT88" i="1"/>
  <c r="DS88" i="1"/>
  <c r="DR88" i="1"/>
  <c r="DQ88" i="1"/>
  <c r="DY88" i="1" s="1" a="1"/>
  <c r="DY88" i="1" s="1"/>
  <c r="DX87" i="1"/>
  <c r="DW87" i="1"/>
  <c r="EB87" i="1" s="1" a="1"/>
  <c r="EB87" i="1" s="1"/>
  <c r="DV87" i="1"/>
  <c r="DU87" i="1"/>
  <c r="DT87" i="1"/>
  <c r="DS87" i="1"/>
  <c r="DR87" i="1"/>
  <c r="DQ87" i="1"/>
  <c r="DX86" i="1"/>
  <c r="DW86" i="1"/>
  <c r="EB86" i="1" s="1" a="1"/>
  <c r="EB86" i="1" s="1"/>
  <c r="DV86" i="1"/>
  <c r="DU86" i="1"/>
  <c r="EA86" i="1" s="1" a="1"/>
  <c r="EA86" i="1" s="1"/>
  <c r="DT86" i="1"/>
  <c r="DS86" i="1"/>
  <c r="DZ86" i="1" s="1" a="1"/>
  <c r="DZ86" i="1" s="1"/>
  <c r="DR86" i="1"/>
  <c r="DQ86" i="1"/>
  <c r="DY86" i="1" s="1" a="1"/>
  <c r="DY86" i="1" s="1"/>
  <c r="DX85" i="1"/>
  <c r="DW85" i="1"/>
  <c r="DV85" i="1"/>
  <c r="DU85" i="1"/>
  <c r="EA85" i="1" s="1" a="1"/>
  <c r="EA85" i="1" s="1"/>
  <c r="DT85" i="1"/>
  <c r="DS85" i="1"/>
  <c r="DZ85" i="1" s="1" a="1"/>
  <c r="DZ85" i="1" s="1"/>
  <c r="DR85" i="1"/>
  <c r="DQ85" i="1"/>
  <c r="DY85" i="1" s="1" a="1"/>
  <c r="DY85" i="1" s="1"/>
  <c r="DX84" i="1"/>
  <c r="DW84" i="1"/>
  <c r="EB84" i="1" s="1" a="1"/>
  <c r="EB84" i="1" s="1"/>
  <c r="DV84" i="1"/>
  <c r="DU84" i="1"/>
  <c r="EA84" i="1" s="1" a="1"/>
  <c r="EA84" i="1" s="1"/>
  <c r="DT84" i="1"/>
  <c r="DS84" i="1"/>
  <c r="DZ84" i="1" s="1" a="1"/>
  <c r="DZ84" i="1" s="1"/>
  <c r="DR84" i="1"/>
  <c r="DQ84" i="1"/>
  <c r="DY84" i="1" s="1" a="1"/>
  <c r="DY84" i="1" s="1"/>
  <c r="DX83" i="1"/>
  <c r="DW83" i="1"/>
  <c r="EB83" i="1" s="1" a="1"/>
  <c r="EB83" i="1" s="1"/>
  <c r="DV83" i="1"/>
  <c r="DU83" i="1"/>
  <c r="EA83" i="1" s="1" a="1"/>
  <c r="EA83" i="1" s="1"/>
  <c r="DT83" i="1"/>
  <c r="DS83" i="1"/>
  <c r="DZ83" i="1" s="1" a="1"/>
  <c r="DZ83" i="1" s="1"/>
  <c r="DR83" i="1"/>
  <c r="DQ83" i="1"/>
  <c r="DY83" i="1" s="1" a="1"/>
  <c r="DY83" i="1" s="1"/>
  <c r="DX82" i="1"/>
  <c r="DW82" i="1"/>
  <c r="EB82" i="1" s="1" a="1"/>
  <c r="EB82" i="1" s="1"/>
  <c r="DV82" i="1"/>
  <c r="DU82" i="1"/>
  <c r="EA82" i="1" s="1" a="1"/>
  <c r="EA82" i="1" s="1"/>
  <c r="DT82" i="1"/>
  <c r="DS82" i="1"/>
  <c r="DZ82" i="1" s="1" a="1"/>
  <c r="DZ82" i="1" s="1"/>
  <c r="DR82" i="1"/>
  <c r="DQ82" i="1"/>
  <c r="DY82" i="1" s="1" a="1"/>
  <c r="DY82" i="1" s="1"/>
  <c r="DX81" i="1"/>
  <c r="DW81" i="1"/>
  <c r="EB81" i="1" s="1" a="1"/>
  <c r="EB81" i="1" s="1"/>
  <c r="DV81" i="1"/>
  <c r="DU81" i="1"/>
  <c r="EA81" i="1" s="1" a="1"/>
  <c r="EA81" i="1" s="1"/>
  <c r="DT81" i="1"/>
  <c r="DS81" i="1"/>
  <c r="DZ81" i="1" s="1" a="1"/>
  <c r="DZ81" i="1" s="1"/>
  <c r="DR81" i="1"/>
  <c r="DQ81" i="1"/>
  <c r="DY81" i="1" s="1" a="1"/>
  <c r="DY81" i="1" s="1"/>
  <c r="DX80" i="1"/>
  <c r="DW80" i="1"/>
  <c r="EB80" i="1" s="1" a="1"/>
  <c r="EB80" i="1" s="1"/>
  <c r="DV80" i="1"/>
  <c r="DU80" i="1"/>
  <c r="EA80" i="1" s="1" a="1"/>
  <c r="EA80" i="1" s="1"/>
  <c r="DT80" i="1"/>
  <c r="DS80" i="1"/>
  <c r="DZ80" i="1" s="1" a="1"/>
  <c r="DZ80" i="1" s="1"/>
  <c r="DR80" i="1"/>
  <c r="DQ80" i="1"/>
  <c r="DY80" i="1" s="1" a="1"/>
  <c r="DY80" i="1" s="1"/>
  <c r="DX79" i="1"/>
  <c r="DW79" i="1"/>
  <c r="EB79" i="1" s="1" a="1"/>
  <c r="EB79" i="1" s="1"/>
  <c r="DV79" i="1"/>
  <c r="DU79" i="1"/>
  <c r="EA79" i="1" s="1" a="1"/>
  <c r="EA79" i="1" s="1"/>
  <c r="DT79" i="1"/>
  <c r="DS79" i="1"/>
  <c r="DZ79" i="1" s="1" a="1"/>
  <c r="DZ79" i="1" s="1"/>
  <c r="DR79" i="1"/>
  <c r="DQ79" i="1"/>
  <c r="DX78" i="1"/>
  <c r="DW78" i="1"/>
  <c r="EB78" i="1" s="1" a="1"/>
  <c r="EB78" i="1" s="1"/>
  <c r="DV78" i="1"/>
  <c r="DU78" i="1"/>
  <c r="EA78" i="1" s="1" a="1"/>
  <c r="EA78" i="1" s="1"/>
  <c r="DT78" i="1"/>
  <c r="DS78" i="1"/>
  <c r="DZ78" i="1" s="1" a="1"/>
  <c r="DZ78" i="1" s="1"/>
  <c r="DR78" i="1"/>
  <c r="DQ78" i="1"/>
  <c r="DY78" i="1" s="1" a="1"/>
  <c r="DY78" i="1" s="1"/>
  <c r="DX77" i="1"/>
  <c r="DW77" i="1"/>
  <c r="EB77" i="1" s="1" a="1"/>
  <c r="EB77" i="1" s="1"/>
  <c r="DV77" i="1"/>
  <c r="DU77" i="1"/>
  <c r="EA77" i="1" s="1" a="1"/>
  <c r="EA77" i="1" s="1"/>
  <c r="DT77" i="1"/>
  <c r="DS77" i="1"/>
  <c r="DZ77" i="1" s="1" a="1"/>
  <c r="DZ77" i="1" s="1"/>
  <c r="DR77" i="1"/>
  <c r="DQ77" i="1"/>
  <c r="DY77" i="1" s="1" a="1"/>
  <c r="DY77" i="1" s="1"/>
  <c r="DX76" i="1"/>
  <c r="DW76" i="1"/>
  <c r="EB76" i="1" s="1" a="1"/>
  <c r="EB76" i="1" s="1"/>
  <c r="DV76" i="1"/>
  <c r="DU76" i="1"/>
  <c r="EA76" i="1" s="1" a="1"/>
  <c r="EA76" i="1" s="1"/>
  <c r="DT76" i="1"/>
  <c r="DS76" i="1"/>
  <c r="DZ76" i="1" s="1" a="1"/>
  <c r="DZ76" i="1" s="1"/>
  <c r="DR76" i="1"/>
  <c r="DQ76" i="1"/>
  <c r="DY76" i="1" s="1" a="1"/>
  <c r="DY76" i="1" s="1"/>
  <c r="DX75" i="1"/>
  <c r="DW75" i="1"/>
  <c r="EB75" i="1" s="1" a="1"/>
  <c r="EB75" i="1" s="1"/>
  <c r="DV75" i="1"/>
  <c r="DU75" i="1"/>
  <c r="EA75" i="1" s="1" a="1"/>
  <c r="EA75" i="1" s="1"/>
  <c r="DT75" i="1"/>
  <c r="DS75" i="1"/>
  <c r="DZ75" i="1" s="1" a="1"/>
  <c r="DZ75" i="1" s="1"/>
  <c r="DR75" i="1"/>
  <c r="DQ75" i="1"/>
  <c r="DY75" i="1" s="1" a="1"/>
  <c r="DY75" i="1" s="1"/>
  <c r="DX74" i="1"/>
  <c r="DW74" i="1"/>
  <c r="EB74" i="1" s="1" a="1"/>
  <c r="EB74" i="1" s="1"/>
  <c r="DV74" i="1"/>
  <c r="DU74" i="1"/>
  <c r="EA74" i="1" s="1" a="1"/>
  <c r="EA74" i="1" s="1"/>
  <c r="DT74" i="1"/>
  <c r="DS74" i="1"/>
  <c r="DZ74" i="1" s="1" a="1"/>
  <c r="DZ74" i="1" s="1"/>
  <c r="DR74" i="1"/>
  <c r="DQ74" i="1"/>
  <c r="DY74" i="1" s="1" a="1"/>
  <c r="DY74" i="1" s="1"/>
  <c r="DX73" i="1"/>
  <c r="DW73" i="1"/>
  <c r="EB73" i="1" s="1" a="1"/>
  <c r="EB73" i="1" s="1"/>
  <c r="DV73" i="1"/>
  <c r="DU73" i="1"/>
  <c r="EA73" i="1" s="1" a="1"/>
  <c r="EA73" i="1" s="1"/>
  <c r="DT73" i="1"/>
  <c r="DS73" i="1"/>
  <c r="DZ73" i="1" s="1" a="1"/>
  <c r="DZ73" i="1" s="1"/>
  <c r="DR73" i="1"/>
  <c r="DQ73" i="1"/>
  <c r="DY73" i="1" s="1" a="1"/>
  <c r="DY73" i="1" s="1"/>
  <c r="DX72" i="1"/>
  <c r="DW72" i="1"/>
  <c r="EB72" i="1" s="1" a="1"/>
  <c r="EB72" i="1" s="1"/>
  <c r="DV72" i="1"/>
  <c r="DU72" i="1"/>
  <c r="EA72" i="1" s="1" a="1"/>
  <c r="EA72" i="1" s="1"/>
  <c r="DT72" i="1"/>
  <c r="DS72" i="1"/>
  <c r="DZ72" i="1" s="1" a="1"/>
  <c r="DZ72" i="1" s="1"/>
  <c r="DR72" i="1"/>
  <c r="DQ72" i="1"/>
  <c r="DY72" i="1" s="1" a="1"/>
  <c r="DY72" i="1" s="1"/>
  <c r="DX71" i="1"/>
  <c r="DW71" i="1"/>
  <c r="EB71" i="1" s="1" a="1"/>
  <c r="EB71" i="1" s="1"/>
  <c r="DV71" i="1"/>
  <c r="DU71" i="1"/>
  <c r="EA71" i="1" s="1" a="1"/>
  <c r="EA71" i="1" s="1"/>
  <c r="DT71" i="1"/>
  <c r="DS71" i="1"/>
  <c r="DZ71" i="1" s="1" a="1"/>
  <c r="DZ71" i="1" s="1"/>
  <c r="DR71" i="1"/>
  <c r="DQ71" i="1"/>
  <c r="DY71" i="1" s="1" a="1"/>
  <c r="DY71" i="1" s="1"/>
  <c r="DX70" i="1"/>
  <c r="DW70" i="1"/>
  <c r="EB70" i="1" s="1" a="1"/>
  <c r="EB70" i="1" s="1"/>
  <c r="DV70" i="1"/>
  <c r="DU70" i="1"/>
  <c r="EA70" i="1" s="1" a="1"/>
  <c r="EA70" i="1" s="1"/>
  <c r="DT70" i="1"/>
  <c r="DS70" i="1"/>
  <c r="DZ70" i="1" s="1" a="1"/>
  <c r="DZ70" i="1" s="1"/>
  <c r="DR70" i="1"/>
  <c r="DQ70" i="1"/>
  <c r="DY70" i="1" s="1" a="1"/>
  <c r="DY70" i="1" s="1"/>
  <c r="DX69" i="1"/>
  <c r="DW69" i="1"/>
  <c r="EB69" i="1" s="1" a="1"/>
  <c r="EB69" i="1" s="1"/>
  <c r="DV69" i="1"/>
  <c r="DU69" i="1"/>
  <c r="EA69" i="1" s="1" a="1"/>
  <c r="EA69" i="1" s="1"/>
  <c r="DT69" i="1"/>
  <c r="DS69" i="1"/>
  <c r="DZ69" i="1" s="1" a="1"/>
  <c r="DZ69" i="1" s="1"/>
  <c r="DR69" i="1"/>
  <c r="DQ69" i="1"/>
  <c r="DY69" i="1" s="1" a="1"/>
  <c r="DY69" i="1" s="1"/>
  <c r="DX68" i="1"/>
  <c r="DW68" i="1"/>
  <c r="EB68" i="1" s="1" a="1"/>
  <c r="EB68" i="1" s="1"/>
  <c r="DV68" i="1"/>
  <c r="DU68" i="1"/>
  <c r="EA68" i="1" s="1" a="1"/>
  <c r="EA68" i="1" s="1"/>
  <c r="DT68" i="1"/>
  <c r="DS68" i="1"/>
  <c r="DZ68" i="1" s="1" a="1"/>
  <c r="DZ68" i="1" s="1"/>
  <c r="DR68" i="1"/>
  <c r="DQ68" i="1"/>
  <c r="DY68" i="1" s="1" a="1"/>
  <c r="DY68" i="1" s="1"/>
  <c r="DX67" i="1"/>
  <c r="DW67" i="1"/>
  <c r="DV67" i="1"/>
  <c r="DU67" i="1"/>
  <c r="EA67" i="1" s="1" a="1"/>
  <c r="EA67" i="1" s="1"/>
  <c r="DT67" i="1"/>
  <c r="DS67" i="1"/>
  <c r="DZ67" i="1" s="1" a="1"/>
  <c r="DZ67" i="1" s="1"/>
  <c r="DR67" i="1"/>
  <c r="DQ67" i="1"/>
  <c r="DX66" i="1"/>
  <c r="DW66" i="1"/>
  <c r="EB66" i="1" s="1" a="1"/>
  <c r="EB66" i="1" s="1"/>
  <c r="DV66" i="1"/>
  <c r="DU66" i="1"/>
  <c r="DT66" i="1"/>
  <c r="DS66" i="1"/>
  <c r="DZ66" i="1" s="1" a="1"/>
  <c r="DZ66" i="1" s="1"/>
  <c r="DR66" i="1"/>
  <c r="DQ66" i="1"/>
  <c r="DX65" i="1"/>
  <c r="DW65" i="1"/>
  <c r="DV65" i="1"/>
  <c r="DU65" i="1"/>
  <c r="EA65" i="1" s="1" a="1"/>
  <c r="EA65" i="1" s="1"/>
  <c r="DT65" i="1"/>
  <c r="DS65" i="1"/>
  <c r="DZ65" i="1" s="1" a="1"/>
  <c r="DZ65" i="1" s="1"/>
  <c r="DR65" i="1"/>
  <c r="DQ65" i="1"/>
  <c r="DY65" i="1" s="1" a="1"/>
  <c r="DY65" i="1" s="1"/>
  <c r="DX64" i="1"/>
  <c r="DW64" i="1"/>
  <c r="EB64" i="1" s="1" a="1"/>
  <c r="EB64" i="1" s="1"/>
  <c r="DV64" i="1"/>
  <c r="DU64" i="1"/>
  <c r="EA64" i="1" s="1" a="1"/>
  <c r="EA64" i="1" s="1"/>
  <c r="DT64" i="1"/>
  <c r="DS64" i="1"/>
  <c r="DZ64" i="1" s="1" a="1"/>
  <c r="DZ64" i="1" s="1"/>
  <c r="DR64" i="1"/>
  <c r="DQ64" i="1"/>
  <c r="DY64" i="1" s="1" a="1"/>
  <c r="DY64" i="1" s="1"/>
  <c r="DX63" i="1"/>
  <c r="DW63" i="1"/>
  <c r="EB63" i="1" s="1" a="1"/>
  <c r="EB63" i="1" s="1"/>
  <c r="DV63" i="1"/>
  <c r="DU63" i="1"/>
  <c r="EA63" i="1" s="1" a="1"/>
  <c r="EA63" i="1" s="1"/>
  <c r="DT63" i="1"/>
  <c r="DS63" i="1"/>
  <c r="DZ63" i="1" s="1" a="1"/>
  <c r="DZ63" i="1" s="1"/>
  <c r="DR63" i="1"/>
  <c r="DQ63" i="1"/>
  <c r="DY63" i="1" s="1" a="1"/>
  <c r="DY63" i="1" s="1"/>
  <c r="DX62" i="1"/>
  <c r="DW62" i="1"/>
  <c r="EB62" i="1" s="1" a="1"/>
  <c r="EB62" i="1" s="1"/>
  <c r="DV62" i="1"/>
  <c r="DU62" i="1"/>
  <c r="EA62" i="1" s="1" a="1"/>
  <c r="EA62" i="1" s="1"/>
  <c r="DT62" i="1"/>
  <c r="DS62" i="1"/>
  <c r="DZ62" i="1" s="1" a="1"/>
  <c r="DZ62" i="1" s="1"/>
  <c r="DR62" i="1"/>
  <c r="DQ62" i="1"/>
  <c r="DY62" i="1" s="1" a="1"/>
  <c r="DY62" i="1" s="1"/>
  <c r="DX61" i="1"/>
  <c r="DW61" i="1"/>
  <c r="EB61" i="1" s="1" a="1"/>
  <c r="EB61" i="1" s="1"/>
  <c r="DV61" i="1"/>
  <c r="DU61" i="1"/>
  <c r="EA61" i="1" s="1" a="1"/>
  <c r="EA61" i="1" s="1"/>
  <c r="DT61" i="1"/>
  <c r="DS61" i="1"/>
  <c r="DZ61" i="1" s="1" a="1"/>
  <c r="DZ61" i="1" s="1"/>
  <c r="DR61" i="1"/>
  <c r="DQ61" i="1"/>
  <c r="DY61" i="1" s="1" a="1"/>
  <c r="DY61" i="1" s="1"/>
  <c r="DX60" i="1"/>
  <c r="DW60" i="1"/>
  <c r="EB60" i="1" s="1" a="1"/>
  <c r="EB60" i="1" s="1"/>
  <c r="DV60" i="1"/>
  <c r="DU60" i="1"/>
  <c r="EA60" i="1" s="1" a="1"/>
  <c r="EA60" i="1" s="1"/>
  <c r="DT60" i="1"/>
  <c r="DS60" i="1"/>
  <c r="DZ60" i="1" s="1" a="1"/>
  <c r="DZ60" i="1" s="1"/>
  <c r="DR60" i="1"/>
  <c r="DQ60" i="1"/>
  <c r="DY60" i="1" s="1" a="1"/>
  <c r="DY60" i="1" s="1"/>
  <c r="DX59" i="1"/>
  <c r="DW59" i="1"/>
  <c r="EB59" i="1" s="1" a="1"/>
  <c r="EB59" i="1" s="1"/>
  <c r="DV59" i="1"/>
  <c r="DU59" i="1"/>
  <c r="EA59" i="1" s="1" a="1"/>
  <c r="EA59" i="1" s="1"/>
  <c r="DT59" i="1"/>
  <c r="DS59" i="1"/>
  <c r="DZ59" i="1" s="1" a="1"/>
  <c r="DZ59" i="1" s="1"/>
  <c r="DR59" i="1"/>
  <c r="DQ59" i="1"/>
  <c r="DY59" i="1" s="1" a="1"/>
  <c r="DY59" i="1" s="1"/>
  <c r="DX58" i="1"/>
  <c r="DW58" i="1"/>
  <c r="EB58" i="1" s="1" a="1"/>
  <c r="EB58" i="1" s="1"/>
  <c r="DV58" i="1"/>
  <c r="DU58" i="1"/>
  <c r="EA58" i="1" s="1" a="1"/>
  <c r="EA58" i="1" s="1"/>
  <c r="DT58" i="1"/>
  <c r="DS58" i="1"/>
  <c r="DZ58" i="1" s="1" a="1"/>
  <c r="DZ58" i="1" s="1"/>
  <c r="DR58" i="1"/>
  <c r="DQ58" i="1"/>
  <c r="DY58" i="1" s="1" a="1"/>
  <c r="DY58" i="1" s="1"/>
  <c r="DX57" i="1"/>
  <c r="DW57" i="1"/>
  <c r="EB57" i="1" s="1" a="1"/>
  <c r="EB57" i="1" s="1"/>
  <c r="DV57" i="1"/>
  <c r="DU57" i="1"/>
  <c r="EA57" i="1" s="1" a="1"/>
  <c r="EA57" i="1" s="1"/>
  <c r="DT57" i="1"/>
  <c r="DS57" i="1"/>
  <c r="DZ57" i="1" s="1" a="1"/>
  <c r="DZ57" i="1" s="1"/>
  <c r="DR57" i="1"/>
  <c r="DQ57" i="1"/>
  <c r="DY57" i="1" s="1" a="1"/>
  <c r="DY57" i="1" s="1"/>
  <c r="DX56" i="1"/>
  <c r="DW56" i="1"/>
  <c r="DV56" i="1"/>
  <c r="DU56" i="1"/>
  <c r="EA56" i="1" s="1" a="1"/>
  <c r="EA56" i="1" s="1"/>
  <c r="DT56" i="1"/>
  <c r="DS56" i="1"/>
  <c r="DZ56" i="1" s="1" a="1"/>
  <c r="DZ56" i="1" s="1"/>
  <c r="DR56" i="1"/>
  <c r="DQ56" i="1"/>
  <c r="DY56" i="1" s="1" a="1"/>
  <c r="DY56" i="1" s="1"/>
  <c r="DX55" i="1"/>
  <c r="DW55" i="1"/>
  <c r="EB55" i="1" s="1" a="1"/>
  <c r="EB55" i="1" s="1"/>
  <c r="DV55" i="1"/>
  <c r="DU55" i="1"/>
  <c r="EA55" i="1" s="1" a="1"/>
  <c r="EA55" i="1" s="1"/>
  <c r="DT55" i="1"/>
  <c r="DS55" i="1"/>
  <c r="DZ55" i="1" s="1" a="1"/>
  <c r="DZ55" i="1" s="1"/>
  <c r="DR55" i="1"/>
  <c r="DQ55" i="1"/>
  <c r="DY55" i="1" s="1" a="1"/>
  <c r="DY55" i="1" s="1"/>
  <c r="DX54" i="1"/>
  <c r="DW54" i="1"/>
  <c r="EB54" i="1" s="1" a="1"/>
  <c r="EB54" i="1" s="1"/>
  <c r="DV54" i="1"/>
  <c r="DU54" i="1"/>
  <c r="EA54" i="1" s="1" a="1"/>
  <c r="EA54" i="1" s="1"/>
  <c r="DT54" i="1"/>
  <c r="DS54" i="1"/>
  <c r="DZ54" i="1" s="1" a="1"/>
  <c r="DZ54" i="1" s="1"/>
  <c r="DR54" i="1"/>
  <c r="DQ54" i="1"/>
  <c r="DY54" i="1" s="1" a="1"/>
  <c r="DY54" i="1" s="1"/>
  <c r="DX53" i="1"/>
  <c r="DW53" i="1"/>
  <c r="EB53" i="1" s="1" a="1"/>
  <c r="EB53" i="1" s="1"/>
  <c r="DV53" i="1"/>
  <c r="DU53" i="1"/>
  <c r="EA53" i="1" s="1" a="1"/>
  <c r="EA53" i="1" s="1"/>
  <c r="DT53" i="1"/>
  <c r="DS53" i="1"/>
  <c r="DZ53" i="1" s="1" a="1"/>
  <c r="DZ53" i="1" s="1"/>
  <c r="DR53" i="1"/>
  <c r="DQ53" i="1"/>
  <c r="DY53" i="1" s="1" a="1"/>
  <c r="DY53" i="1" s="1"/>
  <c r="DX52" i="1"/>
  <c r="DW52" i="1"/>
  <c r="EB52" i="1" s="1" a="1"/>
  <c r="EB52" i="1" s="1"/>
  <c r="DV52" i="1"/>
  <c r="DU52" i="1"/>
  <c r="EA52" i="1" s="1" a="1"/>
  <c r="EA52" i="1" s="1"/>
  <c r="DT52" i="1"/>
  <c r="DS52" i="1"/>
  <c r="DZ52" i="1" s="1" a="1"/>
  <c r="DZ52" i="1" s="1"/>
  <c r="DR52" i="1"/>
  <c r="DQ52" i="1"/>
  <c r="DY52" i="1" s="1" a="1"/>
  <c r="DY52" i="1" s="1"/>
  <c r="DX51" i="1"/>
  <c r="DW51" i="1"/>
  <c r="EB51" i="1" s="1" a="1"/>
  <c r="EB51" i="1" s="1"/>
  <c r="DV51" i="1"/>
  <c r="DU51" i="1"/>
  <c r="EA51" i="1" s="1" a="1"/>
  <c r="EA51" i="1" s="1"/>
  <c r="DT51" i="1"/>
  <c r="DS51" i="1"/>
  <c r="DZ51" i="1" s="1" a="1"/>
  <c r="DZ51" i="1" s="1"/>
  <c r="DR51" i="1"/>
  <c r="DQ51" i="1"/>
  <c r="DY51" i="1" s="1" a="1"/>
  <c r="DY51" i="1" s="1"/>
  <c r="DX50" i="1"/>
  <c r="DW50" i="1"/>
  <c r="EB50" i="1" s="1" a="1"/>
  <c r="EB50" i="1" s="1"/>
  <c r="DV50" i="1"/>
  <c r="DU50" i="1"/>
  <c r="EA50" i="1" s="1" a="1"/>
  <c r="EA50" i="1" s="1"/>
  <c r="DT50" i="1"/>
  <c r="DS50" i="1"/>
  <c r="DZ50" i="1" s="1" a="1"/>
  <c r="DZ50" i="1" s="1"/>
  <c r="DR50" i="1"/>
  <c r="DQ50" i="1"/>
  <c r="DY50" i="1" s="1" a="1"/>
  <c r="DY50" i="1" s="1"/>
  <c r="DX49" i="1"/>
  <c r="DW49" i="1"/>
  <c r="EB49" i="1" s="1" a="1"/>
  <c r="EB49" i="1" s="1"/>
  <c r="DV49" i="1"/>
  <c r="DU49" i="1"/>
  <c r="EA49" i="1" s="1" a="1"/>
  <c r="EA49" i="1" s="1"/>
  <c r="DT49" i="1"/>
  <c r="DS49" i="1"/>
  <c r="DZ49" i="1" s="1" a="1"/>
  <c r="DZ49" i="1" s="1"/>
  <c r="DR49" i="1"/>
  <c r="DQ49" i="1"/>
  <c r="DY49" i="1" s="1" a="1"/>
  <c r="DY49" i="1" s="1"/>
  <c r="DX48" i="1"/>
  <c r="DW48" i="1"/>
  <c r="DV48" i="1"/>
  <c r="DU48" i="1"/>
  <c r="EA48" i="1" s="1" a="1"/>
  <c r="EA48" i="1" s="1"/>
  <c r="DT48" i="1"/>
  <c r="DS48" i="1"/>
  <c r="DZ48" i="1" s="1" a="1"/>
  <c r="DZ48" i="1" s="1"/>
  <c r="DR48" i="1"/>
  <c r="DQ48" i="1"/>
  <c r="DY48" i="1" s="1" a="1"/>
  <c r="DY48" i="1" s="1"/>
  <c r="DX47" i="1"/>
  <c r="DW47" i="1"/>
  <c r="EB47" i="1" s="1" a="1"/>
  <c r="EB47" i="1" s="1"/>
  <c r="DV47" i="1"/>
  <c r="DU47" i="1"/>
  <c r="EA47" i="1" s="1" a="1"/>
  <c r="EA47" i="1" s="1"/>
  <c r="DT47" i="1"/>
  <c r="DS47" i="1"/>
  <c r="DZ47" i="1" s="1" a="1"/>
  <c r="DZ47" i="1" s="1"/>
  <c r="DR47" i="1"/>
  <c r="DQ47" i="1"/>
  <c r="DY47" i="1" s="1" a="1"/>
  <c r="DY47" i="1" s="1"/>
  <c r="DX46" i="1"/>
  <c r="DW46" i="1"/>
  <c r="EB46" i="1" s="1" a="1"/>
  <c r="EB46" i="1" s="1"/>
  <c r="DV46" i="1"/>
  <c r="DU46" i="1"/>
  <c r="EA46" i="1" s="1" a="1"/>
  <c r="EA46" i="1" s="1"/>
  <c r="DT46" i="1"/>
  <c r="DS46" i="1"/>
  <c r="DZ46" i="1" s="1" a="1"/>
  <c r="DZ46" i="1" s="1"/>
  <c r="DR46" i="1"/>
  <c r="DQ46" i="1"/>
  <c r="DY46" i="1" s="1" a="1"/>
  <c r="DY46" i="1" s="1"/>
  <c r="DX45" i="1"/>
  <c r="DW45" i="1"/>
  <c r="EB45" i="1" s="1" a="1"/>
  <c r="EB45" i="1" s="1"/>
  <c r="DV45" i="1"/>
  <c r="DU45" i="1"/>
  <c r="DT45" i="1"/>
  <c r="DS45" i="1"/>
  <c r="DZ45" i="1" s="1" a="1"/>
  <c r="DZ45" i="1" s="1"/>
  <c r="DR45" i="1"/>
  <c r="DQ45" i="1"/>
  <c r="DY45" i="1" s="1" a="1"/>
  <c r="DY45" i="1" s="1"/>
  <c r="DX44" i="1"/>
  <c r="DW44" i="1"/>
  <c r="DV44" i="1"/>
  <c r="DU44" i="1"/>
  <c r="EA44" i="1" s="1" a="1"/>
  <c r="EA44" i="1" s="1"/>
  <c r="DT44" i="1"/>
  <c r="DS44" i="1"/>
  <c r="DZ44" i="1" s="1" a="1"/>
  <c r="DZ44" i="1" s="1"/>
  <c r="DR44" i="1"/>
  <c r="DQ44" i="1"/>
  <c r="DY44" i="1" s="1" a="1"/>
  <c r="DY44" i="1" s="1"/>
  <c r="DX43" i="1"/>
  <c r="DW43" i="1"/>
  <c r="EB43" i="1" s="1" a="1"/>
  <c r="EB43" i="1" s="1"/>
  <c r="DV43" i="1"/>
  <c r="DU43" i="1"/>
  <c r="EA43" i="1" s="1" a="1"/>
  <c r="EA43" i="1" s="1"/>
  <c r="DT43" i="1"/>
  <c r="DS43" i="1"/>
  <c r="DZ43" i="1" s="1" a="1"/>
  <c r="DZ43" i="1" s="1"/>
  <c r="DR43" i="1"/>
  <c r="DQ43" i="1"/>
  <c r="DY43" i="1" s="1" a="1"/>
  <c r="DY43" i="1" s="1"/>
  <c r="DX42" i="1"/>
  <c r="DW42" i="1"/>
  <c r="EB42" i="1" s="1" a="1"/>
  <c r="EB42" i="1" s="1"/>
  <c r="DV42" i="1"/>
  <c r="DU42" i="1"/>
  <c r="EA42" i="1" s="1" a="1"/>
  <c r="EA42" i="1" s="1"/>
  <c r="DT42" i="1"/>
  <c r="DS42" i="1"/>
  <c r="DZ42" i="1" s="1" a="1"/>
  <c r="DZ42" i="1" s="1"/>
  <c r="DR42" i="1"/>
  <c r="DQ42" i="1"/>
  <c r="DY42" i="1" s="1" a="1"/>
  <c r="DY42" i="1" s="1"/>
  <c r="DX41" i="1"/>
  <c r="DW41" i="1"/>
  <c r="EB41" i="1" s="1" a="1"/>
  <c r="EB41" i="1" s="1"/>
  <c r="DV41" i="1"/>
  <c r="DU41" i="1"/>
  <c r="EA41" i="1" s="1" a="1"/>
  <c r="EA41" i="1" s="1"/>
  <c r="DT41" i="1"/>
  <c r="DS41" i="1"/>
  <c r="DZ41" i="1" s="1" a="1"/>
  <c r="DZ41" i="1" s="1"/>
  <c r="DR41" i="1"/>
  <c r="DQ41" i="1"/>
  <c r="DY41" i="1" s="1" a="1"/>
  <c r="DY41" i="1" s="1"/>
  <c r="DX40" i="1"/>
  <c r="DW40" i="1"/>
  <c r="EB40" i="1" s="1" a="1"/>
  <c r="EB40" i="1" s="1"/>
  <c r="DV40" i="1"/>
  <c r="DU40" i="1"/>
  <c r="EA40" i="1" s="1" a="1"/>
  <c r="EA40" i="1" s="1"/>
  <c r="DT40" i="1"/>
  <c r="DS40" i="1"/>
  <c r="DZ40" i="1" s="1" a="1"/>
  <c r="DZ40" i="1" s="1"/>
  <c r="DR40" i="1"/>
  <c r="DQ40" i="1"/>
  <c r="DY40" i="1" s="1" a="1"/>
  <c r="DY40" i="1" s="1"/>
  <c r="DX39" i="1"/>
  <c r="DW39" i="1"/>
  <c r="EB39" i="1" s="1" a="1"/>
  <c r="EB39" i="1" s="1"/>
  <c r="DV39" i="1"/>
  <c r="DU39" i="1"/>
  <c r="EA39" i="1" s="1" a="1"/>
  <c r="EA39" i="1" s="1"/>
  <c r="DT39" i="1"/>
  <c r="DS39" i="1"/>
  <c r="DZ39" i="1" s="1" a="1"/>
  <c r="DZ39" i="1" s="1"/>
  <c r="DR39" i="1"/>
  <c r="DQ39" i="1"/>
  <c r="DY39" i="1" s="1" a="1"/>
  <c r="DY39" i="1" s="1"/>
  <c r="DX38" i="1"/>
  <c r="DW38" i="1"/>
  <c r="EB38" i="1" s="1" a="1"/>
  <c r="EB38" i="1" s="1"/>
  <c r="DV38" i="1"/>
  <c r="DU38" i="1"/>
  <c r="EA38" i="1" s="1" a="1"/>
  <c r="EA38" i="1" s="1"/>
  <c r="DT38" i="1"/>
  <c r="DS38" i="1"/>
  <c r="DZ38" i="1" s="1" a="1"/>
  <c r="DZ38" i="1" s="1"/>
  <c r="DR38" i="1"/>
  <c r="DQ38" i="1"/>
  <c r="DY38" i="1" s="1" a="1"/>
  <c r="DY38" i="1" s="1"/>
  <c r="DX37" i="1"/>
  <c r="DW37" i="1"/>
  <c r="EB37" i="1" s="1" a="1"/>
  <c r="EB37" i="1" s="1"/>
  <c r="DV37" i="1"/>
  <c r="DU37" i="1"/>
  <c r="EA37" i="1" s="1" a="1"/>
  <c r="EA37" i="1" s="1"/>
  <c r="DT37" i="1"/>
  <c r="DS37" i="1"/>
  <c r="DZ37" i="1" s="1" a="1"/>
  <c r="DZ37" i="1" s="1"/>
  <c r="DR37" i="1"/>
  <c r="DQ37" i="1"/>
  <c r="DY37" i="1" s="1" a="1"/>
  <c r="DY37" i="1" s="1"/>
  <c r="DX36" i="1"/>
  <c r="DW36" i="1"/>
  <c r="EB36" i="1" s="1" a="1"/>
  <c r="EB36" i="1" s="1"/>
  <c r="DV36" i="1"/>
  <c r="DU36" i="1"/>
  <c r="EA36" i="1" s="1" a="1"/>
  <c r="EA36" i="1" s="1"/>
  <c r="DT36" i="1"/>
  <c r="DS36" i="1"/>
  <c r="DZ36" i="1" s="1" a="1"/>
  <c r="DZ36" i="1" s="1"/>
  <c r="DR36" i="1"/>
  <c r="DQ36" i="1"/>
  <c r="DY36" i="1" s="1" a="1"/>
  <c r="DY36" i="1" s="1"/>
  <c r="DX35" i="1"/>
  <c r="DW35" i="1"/>
  <c r="EB35" i="1" s="1" a="1"/>
  <c r="EB35" i="1" s="1"/>
  <c r="DV35" i="1"/>
  <c r="DU35" i="1"/>
  <c r="EA35" i="1" s="1" a="1"/>
  <c r="EA35" i="1" s="1"/>
  <c r="DT35" i="1"/>
  <c r="DS35" i="1"/>
  <c r="DZ35" i="1" s="1" a="1"/>
  <c r="DZ35" i="1" s="1"/>
  <c r="DR35" i="1"/>
  <c r="DQ35" i="1"/>
  <c r="DY35" i="1" s="1" a="1"/>
  <c r="DY35" i="1" s="1"/>
  <c r="DX34" i="1"/>
  <c r="DW34" i="1"/>
  <c r="EB34" i="1" s="1" a="1"/>
  <c r="EB34" i="1" s="1"/>
  <c r="DV34" i="1"/>
  <c r="DU34" i="1"/>
  <c r="EA34" i="1" s="1" a="1"/>
  <c r="EA34" i="1" s="1"/>
  <c r="DT34" i="1"/>
  <c r="DS34" i="1"/>
  <c r="DZ34" i="1" s="1" a="1"/>
  <c r="DZ34" i="1" s="1"/>
  <c r="DR34" i="1"/>
  <c r="DQ34" i="1"/>
  <c r="DY34" i="1" s="1" a="1"/>
  <c r="DY34" i="1" s="1"/>
  <c r="DX33" i="1"/>
  <c r="DW33" i="1"/>
  <c r="EB33" i="1" s="1" a="1"/>
  <c r="EB33" i="1" s="1"/>
  <c r="DV33" i="1"/>
  <c r="DU33" i="1"/>
  <c r="EA33" i="1" s="1" a="1"/>
  <c r="EA33" i="1" s="1"/>
  <c r="DT33" i="1"/>
  <c r="DS33" i="1"/>
  <c r="DZ33" i="1" s="1" a="1"/>
  <c r="DZ33" i="1" s="1"/>
  <c r="DR33" i="1"/>
  <c r="DQ33" i="1"/>
  <c r="DY33" i="1" s="1" a="1"/>
  <c r="DY33" i="1" s="1"/>
  <c r="DX32" i="1"/>
  <c r="DW32" i="1"/>
  <c r="EB32" i="1" s="1" a="1"/>
  <c r="EB32" i="1" s="1"/>
  <c r="DV32" i="1"/>
  <c r="DU32" i="1"/>
  <c r="EA32" i="1" s="1" a="1"/>
  <c r="EA32" i="1" s="1"/>
  <c r="DT32" i="1"/>
  <c r="DS32" i="1"/>
  <c r="DZ32" i="1" s="1" a="1"/>
  <c r="DZ32" i="1" s="1"/>
  <c r="DR32" i="1"/>
  <c r="DQ32" i="1"/>
  <c r="DY32" i="1" s="1" a="1"/>
  <c r="DY32" i="1" s="1"/>
  <c r="DX31" i="1"/>
  <c r="DW31" i="1"/>
  <c r="EB31" i="1" s="1" a="1"/>
  <c r="EB31" i="1" s="1"/>
  <c r="DV31" i="1"/>
  <c r="DU31" i="1"/>
  <c r="EA31" i="1" s="1" a="1"/>
  <c r="EA31" i="1" s="1"/>
  <c r="DT31" i="1"/>
  <c r="DS31" i="1"/>
  <c r="DZ31" i="1" s="1" a="1"/>
  <c r="DZ31" i="1" s="1"/>
  <c r="DR31" i="1"/>
  <c r="DQ31" i="1"/>
  <c r="DY31" i="1" s="1" a="1"/>
  <c r="DY31" i="1" s="1"/>
  <c r="DX30" i="1"/>
  <c r="DW30" i="1"/>
  <c r="EB30" i="1" s="1" a="1"/>
  <c r="EB30" i="1" s="1"/>
  <c r="DV30" i="1"/>
  <c r="DU30" i="1"/>
  <c r="EA30" i="1" s="1" a="1"/>
  <c r="EA30" i="1" s="1"/>
  <c r="DT30" i="1"/>
  <c r="DS30" i="1"/>
  <c r="DR30" i="1"/>
  <c r="DQ30" i="1"/>
  <c r="DY30" i="1" s="1" a="1"/>
  <c r="DY30" i="1" s="1"/>
  <c r="DX29" i="1"/>
  <c r="DW29" i="1"/>
  <c r="EB29" i="1" s="1" a="1"/>
  <c r="EB29" i="1" s="1"/>
  <c r="DV29" i="1"/>
  <c r="DU29" i="1"/>
  <c r="EA29" i="1" s="1" a="1"/>
  <c r="EA29" i="1" s="1"/>
  <c r="DT29" i="1"/>
  <c r="DS29" i="1"/>
  <c r="DZ29" i="1" s="1" a="1"/>
  <c r="DZ29" i="1" s="1"/>
  <c r="DR29" i="1"/>
  <c r="DQ29" i="1"/>
  <c r="DY29" i="1" s="1" a="1"/>
  <c r="DY29" i="1" s="1"/>
  <c r="DX28" i="1"/>
  <c r="DW28" i="1"/>
  <c r="EB28" i="1" s="1" a="1"/>
  <c r="EB28" i="1" s="1"/>
  <c r="DV28" i="1"/>
  <c r="DU28" i="1"/>
  <c r="EA28" i="1" s="1" a="1"/>
  <c r="EA28" i="1" s="1"/>
  <c r="DT28" i="1"/>
  <c r="DS28" i="1"/>
  <c r="DZ28" i="1" s="1" a="1"/>
  <c r="DZ28" i="1" s="1"/>
  <c r="DR28" i="1"/>
  <c r="DQ28" i="1"/>
  <c r="DY28" i="1" s="1" a="1"/>
  <c r="DY28" i="1" s="1"/>
  <c r="DX27" i="1"/>
  <c r="DW27" i="1"/>
  <c r="EB27" i="1" s="1" a="1"/>
  <c r="EB27" i="1" s="1"/>
  <c r="DV27" i="1"/>
  <c r="DU27" i="1"/>
  <c r="EA27" i="1" s="1" a="1"/>
  <c r="EA27" i="1" s="1"/>
  <c r="DT27" i="1"/>
  <c r="DS27" i="1"/>
  <c r="DZ27" i="1" s="1" a="1"/>
  <c r="DZ27" i="1" s="1"/>
  <c r="DR27" i="1"/>
  <c r="DQ27" i="1"/>
  <c r="DY27" i="1" s="1" a="1"/>
  <c r="DY27" i="1" s="1"/>
  <c r="DX26" i="1"/>
  <c r="DW26" i="1"/>
  <c r="EB26" i="1" s="1" a="1"/>
  <c r="EB26" i="1" s="1"/>
  <c r="DV26" i="1"/>
  <c r="DU26" i="1"/>
  <c r="EA26" i="1" s="1" a="1"/>
  <c r="EA26" i="1" s="1"/>
  <c r="DT26" i="1"/>
  <c r="DS26" i="1"/>
  <c r="DZ26" i="1" s="1" a="1"/>
  <c r="DZ26" i="1" s="1"/>
  <c r="DR26" i="1"/>
  <c r="DQ26" i="1"/>
  <c r="DY26" i="1" s="1" a="1"/>
  <c r="DY26" i="1" s="1"/>
  <c r="DX25" i="1"/>
  <c r="DW25" i="1"/>
  <c r="EB25" i="1" s="1" a="1"/>
  <c r="EB25" i="1" s="1"/>
  <c r="DV25" i="1"/>
  <c r="DU25" i="1"/>
  <c r="EA25" i="1" s="1" a="1"/>
  <c r="EA25" i="1" s="1"/>
  <c r="DT25" i="1"/>
  <c r="DS25" i="1"/>
  <c r="DZ25" i="1" s="1" a="1"/>
  <c r="DZ25" i="1" s="1"/>
  <c r="DR25" i="1"/>
  <c r="DQ25" i="1"/>
  <c r="DY25" i="1" s="1" a="1"/>
  <c r="DY25" i="1" s="1"/>
  <c r="DX24" i="1"/>
  <c r="DW24" i="1"/>
  <c r="EB24" i="1" s="1" a="1"/>
  <c r="EB24" i="1" s="1"/>
  <c r="DV24" i="1"/>
  <c r="DU24" i="1"/>
  <c r="EA24" i="1" s="1" a="1"/>
  <c r="EA24" i="1" s="1"/>
  <c r="DT24" i="1"/>
  <c r="DS24" i="1"/>
  <c r="DZ24" i="1" s="1" a="1"/>
  <c r="DZ24" i="1" s="1"/>
  <c r="DR24" i="1"/>
  <c r="DQ24" i="1"/>
  <c r="DX23" i="1"/>
  <c r="DW23" i="1"/>
  <c r="EB23" i="1" s="1" a="1"/>
  <c r="EB23" i="1" s="1"/>
  <c r="DV23" i="1"/>
  <c r="DU23" i="1"/>
  <c r="EA23" i="1" s="1" a="1"/>
  <c r="EA23" i="1" s="1"/>
  <c r="DT23" i="1"/>
  <c r="DS23" i="1"/>
  <c r="DZ23" i="1" s="1" a="1"/>
  <c r="DZ23" i="1" s="1"/>
  <c r="DR23" i="1"/>
  <c r="DQ23" i="1"/>
  <c r="DY23" i="1" s="1" a="1"/>
  <c r="DY23" i="1" s="1"/>
  <c r="DX22" i="1"/>
  <c r="DW22" i="1"/>
  <c r="EB22" i="1" s="1" a="1"/>
  <c r="EB22" i="1" s="1"/>
  <c r="DV22" i="1"/>
  <c r="DU22" i="1"/>
  <c r="EA22" i="1" s="1" a="1"/>
  <c r="EA22" i="1" s="1"/>
  <c r="DT22" i="1"/>
  <c r="DS22" i="1"/>
  <c r="DZ22" i="1" s="1" a="1"/>
  <c r="DZ22" i="1" s="1"/>
  <c r="DR22" i="1"/>
  <c r="DQ22" i="1"/>
  <c r="DY22" i="1" s="1" a="1"/>
  <c r="DY22" i="1" s="1"/>
  <c r="DX21" i="1"/>
  <c r="DW21" i="1"/>
  <c r="EB21" i="1" s="1" a="1"/>
  <c r="EB21" i="1" s="1"/>
  <c r="DV21" i="1"/>
  <c r="DU21" i="1"/>
  <c r="EA21" i="1" s="1" a="1"/>
  <c r="EA21" i="1" s="1"/>
  <c r="DT21" i="1"/>
  <c r="DS21" i="1"/>
  <c r="DZ21" i="1" s="1" a="1"/>
  <c r="DZ21" i="1" s="1"/>
  <c r="DR21" i="1"/>
  <c r="DQ21" i="1"/>
  <c r="DY21" i="1" s="1" a="1"/>
  <c r="DY21" i="1" s="1"/>
  <c r="DX20" i="1"/>
  <c r="DW20" i="1"/>
  <c r="EB20" i="1" s="1" a="1"/>
  <c r="EB20" i="1" s="1"/>
  <c r="DV20" i="1"/>
  <c r="DU20" i="1"/>
  <c r="EA20" i="1" s="1" a="1"/>
  <c r="EA20" i="1" s="1"/>
  <c r="DT20" i="1"/>
  <c r="DS20" i="1"/>
  <c r="DZ20" i="1" s="1" a="1"/>
  <c r="DZ20" i="1" s="1"/>
  <c r="DR20" i="1"/>
  <c r="DQ20" i="1"/>
  <c r="DY20" i="1" s="1" a="1"/>
  <c r="DY20" i="1" s="1"/>
  <c r="DX19" i="1"/>
  <c r="DW19" i="1"/>
  <c r="EB19" i="1" s="1" a="1"/>
  <c r="EB19" i="1" s="1"/>
  <c r="DV19" i="1"/>
  <c r="DU19" i="1"/>
  <c r="EA19" i="1" s="1" a="1"/>
  <c r="EA19" i="1" s="1"/>
  <c r="DT19" i="1"/>
  <c r="DS19" i="1"/>
  <c r="DZ19" i="1" s="1" a="1"/>
  <c r="DZ19" i="1" s="1"/>
  <c r="DR19" i="1"/>
  <c r="DQ19" i="1"/>
  <c r="DY19" i="1" s="1" a="1"/>
  <c r="DY19" i="1" s="1"/>
  <c r="DX18" i="1"/>
  <c r="DW18" i="1"/>
  <c r="EB18" i="1" s="1" a="1"/>
  <c r="EB18" i="1" s="1"/>
  <c r="DV18" i="1"/>
  <c r="DU18" i="1"/>
  <c r="EA18" i="1" s="1" a="1"/>
  <c r="EA18" i="1" s="1"/>
  <c r="DT18" i="1"/>
  <c r="DS18" i="1"/>
  <c r="DZ18" i="1" s="1" a="1"/>
  <c r="DZ18" i="1" s="1"/>
  <c r="DR18" i="1"/>
  <c r="DQ18" i="1"/>
  <c r="DY18" i="1" s="1" a="1"/>
  <c r="DY18" i="1" s="1"/>
  <c r="DX17" i="1"/>
  <c r="DW17" i="1"/>
  <c r="EB17" i="1" s="1" a="1"/>
  <c r="EB17" i="1" s="1"/>
  <c r="DV17" i="1"/>
  <c r="DU17" i="1"/>
  <c r="EA17" i="1" s="1" a="1"/>
  <c r="EA17" i="1" s="1"/>
  <c r="DT17" i="1"/>
  <c r="DS17" i="1"/>
  <c r="DZ17" i="1" s="1" a="1"/>
  <c r="DZ17" i="1" s="1"/>
  <c r="DR17" i="1"/>
  <c r="DQ17" i="1"/>
  <c r="DY17" i="1" s="1" a="1"/>
  <c r="DY17" i="1" s="1"/>
  <c r="DX16" i="1"/>
  <c r="DW16" i="1"/>
  <c r="EB16" i="1" s="1" a="1"/>
  <c r="EB16" i="1" s="1"/>
  <c r="DV16" i="1"/>
  <c r="DU16" i="1"/>
  <c r="EA16" i="1" s="1" a="1"/>
  <c r="EA16" i="1" s="1"/>
  <c r="DT16" i="1"/>
  <c r="DS16" i="1"/>
  <c r="DZ16" i="1" s="1" a="1"/>
  <c r="DZ16" i="1" s="1"/>
  <c r="DR16" i="1"/>
  <c r="DQ16" i="1"/>
  <c r="DY16" i="1" s="1" a="1"/>
  <c r="DY16" i="1" s="1"/>
  <c r="DX15" i="1"/>
  <c r="DW15" i="1"/>
  <c r="EB15" i="1" s="1" a="1"/>
  <c r="EB15" i="1" s="1"/>
  <c r="DV15" i="1"/>
  <c r="DU15" i="1"/>
  <c r="EA15" i="1" s="1" a="1"/>
  <c r="EA15" i="1" s="1"/>
  <c r="DT15" i="1"/>
  <c r="DS15" i="1"/>
  <c r="DZ15" i="1" s="1" a="1"/>
  <c r="DZ15" i="1" s="1"/>
  <c r="DR15" i="1"/>
  <c r="DQ15" i="1"/>
  <c r="DY15" i="1" s="1" a="1"/>
  <c r="DY15" i="1" s="1"/>
  <c r="DX14" i="1"/>
  <c r="DW14" i="1"/>
  <c r="EB14" i="1" s="1" a="1"/>
  <c r="EB14" i="1" s="1"/>
  <c r="DV14" i="1"/>
  <c r="DU14" i="1"/>
  <c r="EA14" i="1" s="1" a="1"/>
  <c r="EA14" i="1" s="1"/>
  <c r="DT14" i="1"/>
  <c r="DS14" i="1"/>
  <c r="DZ14" i="1" s="1" a="1"/>
  <c r="DZ14" i="1" s="1"/>
  <c r="DR14" i="1"/>
  <c r="DQ14" i="1"/>
  <c r="DY14" i="1" s="1" a="1"/>
  <c r="DY14" i="1" s="1"/>
  <c r="DX13" i="1"/>
  <c r="DW13" i="1"/>
  <c r="EB13" i="1" s="1" a="1"/>
  <c r="EB13" i="1" s="1"/>
  <c r="DV13" i="1"/>
  <c r="DU13" i="1"/>
  <c r="EA13" i="1" s="1" a="1"/>
  <c r="EA13" i="1" s="1"/>
  <c r="DT13" i="1"/>
  <c r="DS13" i="1"/>
  <c r="DR13" i="1"/>
  <c r="DQ13" i="1"/>
  <c r="DX12" i="1"/>
  <c r="DW12" i="1"/>
  <c r="DV12" i="1"/>
  <c r="DU12" i="1"/>
  <c r="EA12" i="1" s="1" a="1"/>
  <c r="EA12" i="1" s="1"/>
  <c r="DT12" i="1"/>
  <c r="DS12" i="1"/>
  <c r="DZ12" i="1" s="1" a="1"/>
  <c r="DZ12" i="1" s="1"/>
  <c r="DR12" i="1"/>
  <c r="DQ12" i="1"/>
  <c r="DY12" i="1" s="1" a="1"/>
  <c r="DY12" i="1" s="1"/>
  <c r="DX11" i="1"/>
  <c r="DW11" i="1"/>
  <c r="EB11" i="1" s="1" a="1"/>
  <c r="EB11" i="1" s="1"/>
  <c r="DV11" i="1"/>
  <c r="DU11" i="1"/>
  <c r="EA11" i="1" s="1" a="1"/>
  <c r="EA11" i="1" s="1"/>
  <c r="DT11" i="1"/>
  <c r="DS11" i="1"/>
  <c r="DZ11" i="1" s="1" a="1"/>
  <c r="DZ11" i="1" s="1"/>
  <c r="DR11" i="1"/>
  <c r="DQ11" i="1"/>
  <c r="DY11" i="1" s="1" a="1"/>
  <c r="DY11" i="1" s="1"/>
  <c r="DX10" i="1"/>
  <c r="DW10" i="1"/>
  <c r="EB10" i="1" s="1" a="1"/>
  <c r="EB10" i="1" s="1"/>
  <c r="DV10" i="1"/>
  <c r="DU10" i="1"/>
  <c r="EA10" i="1" s="1" a="1"/>
  <c r="EA10" i="1" s="1"/>
  <c r="DT10" i="1"/>
  <c r="DS10" i="1"/>
  <c r="DZ10" i="1" s="1" a="1"/>
  <c r="DZ10" i="1" s="1"/>
  <c r="DR10" i="1"/>
  <c r="DQ10" i="1"/>
  <c r="DY10" i="1" s="1" a="1"/>
  <c r="DY10" i="1" s="1"/>
  <c r="DX9" i="1"/>
  <c r="DW9" i="1"/>
  <c r="EB9" i="1" s="1" a="1"/>
  <c r="EB9" i="1" s="1"/>
  <c r="DV9" i="1"/>
  <c r="DU9" i="1"/>
  <c r="EA9" i="1" s="1" a="1"/>
  <c r="EA9" i="1" s="1"/>
  <c r="DT9" i="1"/>
  <c r="DS9" i="1"/>
  <c r="DZ9" i="1" s="1" a="1"/>
  <c r="DZ9" i="1" s="1"/>
  <c r="DR9" i="1"/>
  <c r="DQ9" i="1"/>
  <c r="DY9" i="1" s="1" a="1"/>
  <c r="DY9" i="1" s="1"/>
  <c r="DX8" i="1"/>
  <c r="DW8" i="1"/>
  <c r="EB8" i="1" s="1" a="1"/>
  <c r="EB8" i="1" s="1"/>
  <c r="DV8" i="1"/>
  <c r="DU8" i="1"/>
  <c r="EA8" i="1" s="1" a="1"/>
  <c r="EA8" i="1" s="1"/>
  <c r="DT8" i="1"/>
  <c r="DS8" i="1"/>
  <c r="DZ8" i="1" s="1" a="1"/>
  <c r="DZ8" i="1" s="1"/>
  <c r="DR8" i="1"/>
  <c r="DQ8" i="1"/>
  <c r="DY8" i="1" s="1" a="1"/>
  <c r="DY8" i="1" s="1"/>
  <c r="DX7" i="1"/>
  <c r="DW7" i="1"/>
  <c r="EB7" i="1" s="1" a="1"/>
  <c r="EB7" i="1" s="1"/>
  <c r="DV7" i="1"/>
  <c r="DU7" i="1"/>
  <c r="EA7" i="1" s="1" a="1"/>
  <c r="EA7" i="1" s="1"/>
  <c r="DT7" i="1"/>
  <c r="DS7" i="1"/>
  <c r="DZ7" i="1" s="1" a="1"/>
  <c r="DZ7" i="1" s="1"/>
  <c r="DR7" i="1"/>
  <c r="DQ7" i="1"/>
  <c r="DX6" i="1"/>
  <c r="DW6" i="1"/>
  <c r="EB6" i="1" s="1" a="1"/>
  <c r="EB6" i="1" s="1"/>
  <c r="DV6" i="1"/>
  <c r="DU6" i="1"/>
  <c r="EA6" i="1" s="1" a="1"/>
  <c r="EA6" i="1" s="1"/>
  <c r="DT6" i="1"/>
  <c r="DS6" i="1"/>
  <c r="DZ6" i="1" s="1" a="1"/>
  <c r="DZ6" i="1" s="1"/>
  <c r="DR6" i="1"/>
  <c r="DQ6" i="1"/>
  <c r="DY6" i="1" s="1" a="1"/>
  <c r="DY6" i="1" s="1"/>
  <c r="DX5" i="1"/>
  <c r="DW5" i="1"/>
  <c r="EB5" i="1" s="1" a="1"/>
  <c r="EB5" i="1" s="1"/>
  <c r="DV5" i="1"/>
  <c r="DU5" i="1"/>
  <c r="EA5" i="1" s="1" a="1"/>
  <c r="EA5" i="1" s="1"/>
  <c r="DT5" i="1"/>
  <c r="DS5" i="1"/>
  <c r="DZ5" i="1" s="1" a="1"/>
  <c r="DZ5" i="1" s="1"/>
  <c r="DR5" i="1"/>
  <c r="DQ5" i="1"/>
  <c r="DY5" i="1" s="1" a="1"/>
  <c r="DY5" i="1" s="1"/>
  <c r="DX4" i="1"/>
  <c r="DW4" i="1"/>
  <c r="EB4" i="1" s="1" a="1"/>
  <c r="EB4" i="1" s="1"/>
  <c r="DV4" i="1"/>
  <c r="DU4" i="1"/>
  <c r="EA4" i="1" s="1" a="1"/>
  <c r="EA4" i="1" s="1"/>
  <c r="DT4" i="1"/>
  <c r="DS4" i="1"/>
  <c r="DZ4" i="1" s="1" a="1"/>
  <c r="DZ4" i="1" s="1"/>
  <c r="DR4" i="1"/>
  <c r="DQ4" i="1"/>
  <c r="DY4" i="1" s="1" a="1"/>
  <c r="DY4" i="1" s="1"/>
  <c r="DX3" i="1"/>
  <c r="DW3" i="1"/>
  <c r="EB3" i="1" s="1" a="1"/>
  <c r="EB3" i="1" s="1"/>
  <c r="DV3" i="1"/>
  <c r="DU3" i="1"/>
  <c r="EA3" i="1" s="1" a="1"/>
  <c r="EA3" i="1" s="1"/>
  <c r="DT3" i="1"/>
  <c r="DS3" i="1"/>
  <c r="DZ3" i="1" s="1" a="1"/>
  <c r="DZ3" i="1" s="1"/>
  <c r="DR3" i="1"/>
  <c r="DQ3" i="1"/>
  <c r="DY3" i="1" s="1" a="1"/>
  <c r="DY3" i="1" s="1"/>
  <c r="DZ96" i="1" l="1" a="1"/>
  <c r="DZ96" i="1" s="1"/>
  <c r="DY66" i="1" a="1"/>
  <c r="DY66" i="1" s="1"/>
  <c r="EB65" i="1" a="1"/>
  <c r="EB65" i="1" s="1"/>
  <c r="EB44" i="1" a="1"/>
  <c r="EB44" i="1" s="1"/>
  <c r="DY24" i="1" a="1"/>
  <c r="DY24" i="1" s="1"/>
  <c r="DZ99" i="1" a="1"/>
  <c r="DZ99" i="1" s="1"/>
  <c r="EB94" i="1" a="1"/>
  <c r="EB94" i="1" s="1"/>
  <c r="EB100" i="1" a="1"/>
  <c r="EB100" i="1" s="1"/>
  <c r="EA66" i="1" a="1"/>
  <c r="EA66" i="1" s="1"/>
  <c r="EB12" i="1" a="1"/>
  <c r="EB12" i="1" s="1"/>
  <c r="DY13" i="1" a="1"/>
  <c r="DY13" i="1" s="1"/>
  <c r="EB99" i="1" a="1"/>
  <c r="EB99" i="1" s="1"/>
  <c r="EA99" i="1" a="1"/>
  <c r="EA99" i="1" s="1"/>
  <c r="DY79" i="1" a="1"/>
  <c r="DY79" i="1" s="1"/>
  <c r="DZ13" i="1" a="1"/>
  <c r="DZ13" i="1" s="1"/>
  <c r="EB85" i="1" a="1"/>
  <c r="EB85" i="1" s="1"/>
  <c r="DZ88" i="1" a="1"/>
  <c r="DZ88" i="1" s="1"/>
  <c r="EB67" i="1" a="1"/>
  <c r="EB67" i="1" s="1"/>
  <c r="DZ30" i="1" a="1"/>
  <c r="DZ30" i="1" s="1"/>
  <c r="EA87" i="1" a="1"/>
  <c r="EA87" i="1" s="1"/>
  <c r="EB56" i="1" a="1"/>
  <c r="EB56" i="1" s="1"/>
  <c r="DY7" i="1" a="1"/>
  <c r="DY7" i="1" s="1"/>
  <c r="DZ87" i="1" a="1"/>
  <c r="DZ87" i="1" s="1"/>
  <c r="DY67" i="1" a="1"/>
  <c r="DY67" i="1" s="1"/>
  <c r="DY87" i="1" a="1"/>
  <c r="DY87" i="1" s="1"/>
  <c r="EB48" i="1" a="1"/>
  <c r="EB48" i="1" s="1"/>
  <c r="EA45" i="1" a="1"/>
  <c r="EA45" i="1" s="1"/>
  <c r="K2" i="2"/>
</calcChain>
</file>

<file path=xl/sharedStrings.xml><?xml version="1.0" encoding="utf-8"?>
<sst xmlns="http://schemas.openxmlformats.org/spreadsheetml/2006/main" count="3191" uniqueCount="1653">
  <si>
    <t>Session Deep Dives</t>
  </si>
  <si>
    <t>General Data</t>
  </si>
  <si>
    <t>Survey Data</t>
  </si>
  <si>
    <t>Text Segregation by Topic</t>
  </si>
  <si>
    <t>Text Processing &amp; Engagement</t>
  </si>
  <si>
    <t>Sentiment Topics</t>
  </si>
  <si>
    <t>Sentiment Analysis</t>
  </si>
  <si>
    <t>Negative Issue Detection</t>
  </si>
  <si>
    <t>Reflection &amp; Thinking Depth</t>
  </si>
  <si>
    <t>Emotion Analysis</t>
  </si>
  <si>
    <t xml:space="preserve">Disclosure gap </t>
  </si>
  <si>
    <t>Audit Week</t>
  </si>
  <si>
    <t>Cohens k</t>
  </si>
  <si>
    <t>Second Reviewer</t>
  </si>
  <si>
    <t>session_id</t>
  </si>
  <si>
    <t>audit_id</t>
  </si>
  <si>
    <t>employee_id</t>
  </si>
  <si>
    <t>channel</t>
  </si>
  <si>
    <t>started_at</t>
  </si>
  <si>
    <t>ended_at</t>
  </si>
  <si>
    <t>status</t>
  </si>
  <si>
    <t>duration_sec</t>
  </si>
  <si>
    <t>media_uri</t>
  </si>
  <si>
    <t>eleven_conversation_id</t>
  </si>
  <si>
    <t>eleven_agent_id</t>
  </si>
  <si>
    <t>transcription</t>
  </si>
  <si>
    <t>aud_id</t>
  </si>
  <si>
    <t>summary</t>
  </si>
  <si>
    <t>caller_phone</t>
  </si>
  <si>
    <t>called_phone</t>
  </si>
  <si>
    <t>source_provider</t>
  </si>
  <si>
    <t>survey_result_ids</t>
  </si>
  <si>
    <t>interview_tag</t>
  </si>
  <si>
    <t>interview_tag_source</t>
  </si>
  <si>
    <t>interview_tag_updated_at</t>
  </si>
  <si>
    <t>interview_tag_updated_by</t>
  </si>
  <si>
    <t>ai_analysis_complete</t>
  </si>
  <si>
    <t>week_number</t>
  </si>
  <si>
    <t>participant_text_clean</t>
  </si>
  <si>
    <t>session_number_per_employee</t>
  </si>
  <si>
    <t>pre-survey_response_json</t>
  </si>
  <si>
    <t>pre-survey_submitted_at</t>
  </si>
  <si>
    <t>post-survey_response_json</t>
  </si>
  <si>
    <t>post-survey_submitted_at</t>
  </si>
  <si>
    <t>post_feedback_topic</t>
  </si>
  <si>
    <t>post_feedback_sentiment</t>
  </si>
  <si>
    <t>text_overall_experience</t>
  </si>
  <si>
    <t>text_workload_sustainability</t>
  </si>
  <si>
    <t>text_client_value</t>
  </si>
  <si>
    <t>text_leadership_engagement</t>
  </si>
  <si>
    <t>text_additional_topic</t>
  </si>
  <si>
    <t>text_closing</t>
  </si>
  <si>
    <t>word_count_total</t>
  </si>
  <si>
    <t>word_count_overall</t>
  </si>
  <si>
    <t>word_count_workload_sustainability</t>
  </si>
  <si>
    <t>word_count_client_value</t>
  </si>
  <si>
    <t>word_count_leadership_engagement</t>
  </si>
  <si>
    <t>word_count_additional_topic</t>
  </si>
  <si>
    <t>word_count_closing</t>
  </si>
  <si>
    <t>participant_turn_count</t>
  </si>
  <si>
    <t>avg_words_per_turn</t>
  </si>
  <si>
    <t>longest_response_words</t>
  </si>
  <si>
    <t>sentiment_overall experience</t>
  </si>
  <si>
    <t>soe_pos</t>
  </si>
  <si>
    <t>soe_neu</t>
  </si>
  <si>
    <t>soe_neg</t>
  </si>
  <si>
    <t>sentiment_workload</t>
  </si>
  <si>
    <t>sw_pos</t>
  </si>
  <si>
    <t>sw_neu</t>
  </si>
  <si>
    <t>sw_neg</t>
  </si>
  <si>
    <t>sentiment_client_value</t>
  </si>
  <si>
    <t>scv_pos</t>
  </si>
  <si>
    <t>scv_neu</t>
  </si>
  <si>
    <t>scv_neg</t>
  </si>
  <si>
    <t>sentiment_leadership</t>
  </si>
  <si>
    <t>sl_pos</t>
  </si>
  <si>
    <t>sl_neu</t>
  </si>
  <si>
    <t>sl_neg</t>
  </si>
  <si>
    <t>sentiment_additional_ topic</t>
  </si>
  <si>
    <t>sat_pos</t>
  </si>
  <si>
    <t>sat_neu</t>
  </si>
  <si>
    <t>sat_neg</t>
  </si>
  <si>
    <t>sentiment_closing</t>
  </si>
  <si>
    <t>sc_pos</t>
  </si>
  <si>
    <t>sc_neu</t>
  </si>
  <si>
    <t>sc_neg</t>
  </si>
  <si>
    <t>sentiment_positive_avg</t>
  </si>
  <si>
    <t>sentiment_neutral_avg</t>
  </si>
  <si>
    <t>sentiment_negative_avg</t>
  </si>
  <si>
    <t>sentiment_negative_max</t>
  </si>
  <si>
    <t>sentiment_label_dominant</t>
  </si>
  <si>
    <t>sentiment_complete_interview</t>
  </si>
  <si>
    <t>sentiment_manual_negative</t>
  </si>
  <si>
    <t>negative_issue_auto</t>
  </si>
  <si>
    <t>negative_issue_keyword_count</t>
  </si>
  <si>
    <t>deep_dive_negative_issue</t>
  </si>
  <si>
    <t>negative_issue_manual</t>
  </si>
  <si>
    <t>causal_marker_count (e.g., because, due to, led to)</t>
  </si>
  <si>
    <t>consequence_marker_count (e.g., resulted in, impact) (e.g., resulted in, impact)</t>
  </si>
  <si>
    <t>improvement_marker_count (e.g., should, need to, could)</t>
  </si>
  <si>
    <t>reflection_depth_manual</t>
  </si>
  <si>
    <t>emotion_general</t>
  </si>
  <si>
    <t>emotion_overall_experience</t>
  </si>
  <si>
    <t>emotion_workload_sustainability</t>
  </si>
  <si>
    <t>emotion_client_value</t>
  </si>
  <si>
    <t>emotion_leadership_engagement</t>
  </si>
  <si>
    <t>emotion_additional_topic</t>
  </si>
  <si>
    <t>emotion_closing</t>
  </si>
  <si>
    <t>gap_overall_expierience</t>
  </si>
  <si>
    <t>reason_o_e</t>
  </si>
  <si>
    <t>gap_workload_sust</t>
  </si>
  <si>
    <t>reason_w_s</t>
  </si>
  <si>
    <t>gap_client_value</t>
  </si>
  <si>
    <t>reason_c_v</t>
  </si>
  <si>
    <t>gap_leadership_eng</t>
  </si>
  <si>
    <t>reason_l_e</t>
  </si>
  <si>
    <t>manual_gap_overall_experience</t>
  </si>
  <si>
    <t>manual_likert_overall_experience</t>
  </si>
  <si>
    <t>gap_segmentation_overall experience</t>
  </si>
  <si>
    <t>negative_issue_overall_experience</t>
  </si>
  <si>
    <t>manual_gap_workload_sust</t>
  </si>
  <si>
    <t>manual_likert_workload_sust</t>
  </si>
  <si>
    <t>gap_segmentation_workload_sust</t>
  </si>
  <si>
    <t>negative_issue_workload_sust</t>
  </si>
  <si>
    <t>manual_gap_client_value</t>
  </si>
  <si>
    <t>manual_likert_client_value</t>
  </si>
  <si>
    <t>gap_segmentation_client_value</t>
  </si>
  <si>
    <t>negative_issue_client_value</t>
  </si>
  <si>
    <t>manual_gap_leadership</t>
  </si>
  <si>
    <t>manual_likert_leadership</t>
  </si>
  <si>
    <t>gap_segmentation_leadership</t>
  </si>
  <si>
    <t>negative_issue_leadership</t>
  </si>
  <si>
    <t>audit_week</t>
  </si>
  <si>
    <t>da_1</t>
  </si>
  <si>
    <t>dm_1</t>
  </si>
  <si>
    <t>da_2</t>
  </si>
  <si>
    <t>dm_2</t>
  </si>
  <si>
    <t>da_3</t>
  </si>
  <si>
    <t>dm_3</t>
  </si>
  <si>
    <t>da_4</t>
  </si>
  <si>
    <t>dm_4</t>
  </si>
  <si>
    <t>diif_1</t>
  </si>
  <si>
    <t>diif_2</t>
  </si>
  <si>
    <t>diif_3</t>
  </si>
  <si>
    <t>diif_4</t>
  </si>
  <si>
    <t>manual_gap_overall_experience_2</t>
  </si>
  <si>
    <t>manual_likert_overall_experience_2</t>
  </si>
  <si>
    <t>gap_segmentation_overall experience_2</t>
  </si>
  <si>
    <t>negative_issue_overall_experience_2</t>
  </si>
  <si>
    <t>manual_gap_workload_sust_2</t>
  </si>
  <si>
    <t>manual_likert_workload_sust_2</t>
  </si>
  <si>
    <t>gap_segmentation_workload_sust_2</t>
  </si>
  <si>
    <t>negative_issue_workload_sust_2</t>
  </si>
  <si>
    <t>manual_gap_client_value_2</t>
  </si>
  <si>
    <t>manual_likert_client_value_2</t>
  </si>
  <si>
    <t>gap_segmentation_client_value_2</t>
  </si>
  <si>
    <t>negative_issue_client_value_2</t>
  </si>
  <si>
    <t>manual_gap_leadership_2</t>
  </si>
  <si>
    <t>manual_likert_leadership_2</t>
  </si>
  <si>
    <t>gap_segmentation_leadership_2</t>
  </si>
  <si>
    <t>negative_issue_leadership_2</t>
  </si>
  <si>
    <t>3edbf0a0-8a65-4078-a4dd-8a8e5dea6759</t>
  </si>
  <si>
    <t>2577abb2-3507-4ffc-b169-75599bdce114</t>
  </si>
  <si>
    <t>b634e513-cc74-4d0d-b905-395db5f7a20c</t>
  </si>
  <si>
    <t>9d5a57c6-5750-4534-983e-468bfc614b34</t>
  </si>
  <si>
    <t>2e458347-aab7-4926-8be1-5271da5b2c65</t>
  </si>
  <si>
    <t>74307b60-1913-40ad-a66a-30f913597f0d</t>
  </si>
  <si>
    <t>962fa1af-ae38-42fe-9bbc-7658f513b7df</t>
  </si>
  <si>
    <t>c01ba93f-916a-40bf-9351-251d742e666a</t>
  </si>
  <si>
    <t>c846a9ee-226e-4e0f-9278-106797086249</t>
  </si>
  <si>
    <t>5a0b74ee-ab57-417c-a7cc-4ca8dc88baa6</t>
  </si>
  <si>
    <t>4bfa49c3-475b-4f2c-b961-6ad9d116b72b</t>
  </si>
  <si>
    <t>e8ef8175-4432-455d-8c79-2aac070f411a</t>
  </si>
  <si>
    <t>1783f47a-7863-4476-b610-31281650b181</t>
  </si>
  <si>
    <t>530df9a9-7110-4a25-9872-0c1d242b65a0</t>
  </si>
  <si>
    <t>c1820d00-1fdc-465c-a23c-b75c2ef9f25a</t>
  </si>
  <si>
    <t>4736144b-0e54-4fa6-b94d-e8364d7fcdbc</t>
  </si>
  <si>
    <t>f3e98fb5-c7c7-4918-b1e7-69c34bbcba18</t>
  </si>
  <si>
    <t>63b3341f-7fa1-473e-bcfe-81595352d156</t>
  </si>
  <si>
    <t>cf0f9c95-dd4a-4096-89f1-d229ebf5f55e</t>
  </si>
  <si>
    <t>15d8b27c-469f-4272-8b96-4ed69ac41634</t>
  </si>
  <si>
    <t>798df544-2a83-4cc1-b90b-951d546bdd99</t>
  </si>
  <si>
    <t>8cfc6871-ee1d-4b55-9ed0-4dc21574c29f</t>
  </si>
  <si>
    <t>1a9374ce-a316-4c07-a7cb-d1370fd93475</t>
  </si>
  <si>
    <t>e87e1d00-666f-4ad0-96cf-9bd7a0a049a3</t>
  </si>
  <si>
    <t>0cd48389-6426-4350-b917-cf51f877451a</t>
  </si>
  <si>
    <t>08dde59d-27bc-4a1e-8d8f-7cd6a04ed4d3</t>
  </si>
  <si>
    <t>f6d4557f-cf14-4e3c-84f4-53a7a8b74b29</t>
  </si>
  <si>
    <t>fc0fc5f4-dd34-4d0c-91af-4f68e4ee06c7</t>
  </si>
  <si>
    <t>1e5026c9-80f3-4733-b2aa-41d8b86ca310</t>
  </si>
  <si>
    <t>8f11f2ae-b2b5-4b86-bef0-309928b7669b</t>
  </si>
  <si>
    <t>ace645fe-acd0-427b-a9cb-9bddedd54633</t>
  </si>
  <si>
    <t>01fe93a8-8723-48be-9311-b6d08c34a13d</t>
  </si>
  <si>
    <t>d025ac16-b1cf-41b5-a772-12ed146ad9f1</t>
  </si>
  <si>
    <t>457a1089-e908-48c2-8266-bfdd98e255f0</t>
  </si>
  <si>
    <t>5f505770-b642-4eef-b542-6fcb16768d1a</t>
  </si>
  <si>
    <t>be378487-ec9c-427a-b475-5e62c4f18ed3</t>
  </si>
  <si>
    <t>7fc633b3-a126-4e86-951c-11fcfb13d9ac</t>
  </si>
  <si>
    <t>2a84554a-7170-4940-879a-15d31dd55933</t>
  </si>
  <si>
    <t>765ddee0-ced4-4452-92f0-32a0f7e0b8ce</t>
  </si>
  <si>
    <t>e5ca65a1-ea75-409a-84e2-4e638d7cbed7</t>
  </si>
  <si>
    <t>34fcc12f-9af1-4628-aec2-3210e095ef5e</t>
  </si>
  <si>
    <t>8ab6fefd-2577-4bf9-ae3c-107490434cca</t>
  </si>
  <si>
    <t>d3bdf097-5748-4777-9b42-1c602e133c39</t>
  </si>
  <si>
    <t>e31b56e8-962d-4c13-9d65-d8bb18c76c18</t>
  </si>
  <si>
    <t>f33e0bf3-4516-4144-b990-302035ad33c3</t>
  </si>
  <si>
    <t>8c6ab851-cc04-4d49-8957-c2d20a4fbac9</t>
  </si>
  <si>
    <t>d8485441-c775-4fa2-b768-600a088a6292</t>
  </si>
  <si>
    <t>f3ee527d-8012-4957-ab38-4a2101631b9c</t>
  </si>
  <si>
    <t>4a3523c6-1faa-4bd5-8f48-1d8671c427a9</t>
  </si>
  <si>
    <t>24bc3383-4609-4108-a3ac-66837ea21453</t>
  </si>
  <si>
    <t>ede35370-57da-48d3-87c2-2822535f7f96</t>
  </si>
  <si>
    <t>ca81edeb-72b9-4636-8728-86c5a41e28c8</t>
  </si>
  <si>
    <t>b778fde3-85f7-4570-8721-7b38cde51e16</t>
  </si>
  <si>
    <t>647485c9-91a5-4f28-9056-d4503ddeb5ed</t>
  </si>
  <si>
    <t>1bd3f940-d5d8-4bd7-a2b2-1fc66fc0f4a2</t>
  </si>
  <si>
    <t>b0303ecd-8731-4419-8f72-8c6bd078f68c</t>
  </si>
  <si>
    <t>51fe698b-e6c7-4cb7-ba66-b6fde8381f77</t>
  </si>
  <si>
    <t>673607d7-554a-4699-be5a-fe4aa719d6a5</t>
  </si>
  <si>
    <t>78878e46-a4aa-481a-afe7-4da50d92715e</t>
  </si>
  <si>
    <t>8747d0d6-901e-4d01-81e5-3804686d7418</t>
  </si>
  <si>
    <t>2c57c514-54c4-46b9-9923-5c980570c4b9</t>
  </si>
  <si>
    <t>15871008-ca09-43b2-b187-3f5e23648170</t>
  </si>
  <si>
    <t>65bededb-bf03-4d06-9643-66f49c07a099</t>
  </si>
  <si>
    <t>e7c564b7-0983-49d9-a3f9-4c15f946ffba</t>
  </si>
  <si>
    <t>8062b433-5fc9-4b23-9509-1da78ea9d887</t>
  </si>
  <si>
    <t>c9b1a6fa-81dc-4791-95f4-b6607a4ba6b8</t>
  </si>
  <si>
    <t>97e6bc8e-a848-4462-afd0-01f630339ffb</t>
  </si>
  <si>
    <t>776dad90-f3b0-4892-8800-a18fd6860f3d</t>
  </si>
  <si>
    <t>7bb39103-ef47-4738-8076-d18051a26e87</t>
  </si>
  <si>
    <t>cad7faf9-b952-4c53-bfd7-0676ca456d33</t>
  </si>
  <si>
    <t>5cc5177c-6cf4-44cb-83fc-42a627226813</t>
  </si>
  <si>
    <t>0585f9f4-9f77-4a6f-a791-93110d73cf76</t>
  </si>
  <si>
    <t>09290b39-0fb4-4096-b357-c0e613b92790</t>
  </si>
  <si>
    <t>ffd68103-fc77-4b96-8929-9c9c6bc896a6</t>
  </si>
  <si>
    <t>7b601043-7f13-4283-b66f-0be2a78ee37f</t>
  </si>
  <si>
    <t>fb191644-3ad5-4dc7-893a-f62316073aaa</t>
  </si>
  <si>
    <t>92bf21b6-71a2-4860-8b31-2489c7d1179a</t>
  </si>
  <si>
    <t>8aaf4794-e9e6-469f-a2c8-ffa3d414cc06</t>
  </si>
  <si>
    <t>315b7c5e-7a25-4d02-adf0-907d0d6bd7bd</t>
  </si>
  <si>
    <t>Session_ID</t>
  </si>
  <si>
    <t>Interview_Number</t>
  </si>
  <si>
    <t>Response_JSON</t>
  </si>
  <si>
    <t>Quote</t>
  </si>
  <si>
    <t>Topic</t>
  </si>
  <si>
    <t>Flaggin_Reason</t>
  </si>
  <si>
    <t>First_Code_Label</t>
  </si>
  <si>
    <t>Confidence_Score</t>
  </si>
  <si>
    <t>Second_Order</t>
  </si>
  <si>
    <t>Second_Order_Clustered</t>
  </si>
  <si>
    <t>Third_Order</t>
  </si>
  <si>
    <t>My_Manual_Code</t>
  </si>
  <si>
    <t>Include_Flag</t>
  </si>
  <si>
    <t>Gap (Yes/No)</t>
  </si>
  <si>
    <t>{"session_id": "01fe93a8-8723-48be-9311-b6d08c34a13d", "quotes": [{"quote_text": "I was a little bit sick, but not too bad. Just wanted not to overdo it.", "topic": "workload_sustainability", "first_order_code": "minimizing illness to avoid overdoing it", "flagging_reason": "Participant softens being sick with 'not too bad' while explaining a self-protective boundary around workload.", "confidence": 0.75}, {"quote_text": "especially because our project lead was in the US. Um, so we could align, uh, on the, uh, associate and consultant level a lot better on tasks that we needed to do. Um, and by the time that he was awake in Pacific time, we could already iterate documents with him.", "topic": "overall_experience", "first_order_code": "working around time zone gap with project lead", "flagging_reason": "Describes a workaround necessitated by the project lead's remote location and time difference, indicating a friction point.", "confidence": 0.7}, {"quote_text": "I think the senior leadership, the more sen- the senior partners, they are more hands-off, which is totally okay and acceptable because the project has been going on for such a long time, so there's not a lot that they need to escalate.", "topic": "leadership_engagement", "first_order_code": "justifying senior partners being hands-off", "flagging_reason": "Participant describes limited senior partner involvement but immediately rationalizes it as acceptable, suggesting potential concern being defused.", "confidence": 0.65}]}</t>
  </si>
  <si>
    <t>I think the senior leadership, the more sen- the senior partners, they are more hands-off, which is totally okay and acceptable because the project has been going on for such a long time, so there's not a lot that they need to escalate.</t>
  </si>
  <si>
    <t>leadership</t>
  </si>
  <si>
    <t>Participant describes limited senior partner involvement but immediately rationalizes it as acceptable, suggesting potential concern being defused.</t>
  </si>
  <si>
    <t>justifying senior partners being hands-off</t>
  </si>
  <si>
    <t>Rationalizing leadership absence</t>
  </si>
  <si>
    <t>especially because our project lead was in the US. Um, so we could align, uh, on the, uh, associate and consultant level a lot better on tasks that we needed to do. Um, and by the time that he was awake in Pacific time, we could already iterate documents with him.</t>
  </si>
  <si>
    <t>overall_experience</t>
  </si>
  <si>
    <t>Describes a workaround necessitated by the project lead's remote location and time difference, indicating a friction point.</t>
  </si>
  <si>
    <t>working around time zone gap with project lead</t>
  </si>
  <si>
    <t>Concern content - FAMILY A</t>
  </si>
  <si>
    <t>I was a little bit sick, but not too bad. Just wanted not to overdo it.</t>
  </si>
  <si>
    <t>workload_sust</t>
  </si>
  <si>
    <t>Participant softens being sick with 'not too bad' while explaining a self-protective boundary around workload.</t>
  </si>
  <si>
    <t>minimizing illness to avoid overdoing it</t>
  </si>
  <si>
    <t>Downgrading emotional intensity</t>
  </si>
  <si>
    <t>{"session_id": "0585f9f4-9f77-4a6f-a791-93110d73cf76", "quotes": [{"quote_text": "on the other side, especially from Monday to Wednesday, we had really intense working hours, working very late, after midnight. So yeah, I think there is still room for improvement.", "topic": "overall_experience", "first_order_code": "working after midnight with room for improvement", "flagging_reason": "Discloses a work concern about extreme hours but softens it with understated phrasing 'room for improvement.'", "confidence": 0.95}, {"quote_text": "we need, or we have a delivery, which is the... Or we had a delivery last Friday. We have an additional delivery this Friday. So there are a lot of deliverables, and especially the finance team covers a lot of topics for these deliverables. So therefore, the working hours are very intense.", "topic": "overall_experience", "first_order_code": "explaining intense hours by volume of deliverables", "flagging_reason": "Attributes the problem to project demands rather than management decisions, showing how the concern is framed.", "confidence": 0.85}, {"quote_text": "I think in general, it's not really sustainable what we're doing at the moment because we're working very late and nearly every day, we finish far after midnight.", "topic": "workload_sustainability", "first_order_code": "finishing after midnight nearly every day is not sustainable", "flagging_reason": "Directly states a work concern about unsustainability of current working pattern.", "confidence": 1.0}, {"quote_text": "it's not possible to get enough sleep during the week. I think during most of the days within the week, we just get five or six hours of sleep or even less, and I think that's not sustainable to keep it that way over a long period.", "topic": "workload_sustainability", "first_order_code": "getting five to six hours of sleep or less most days", "flagging_reason": "Discloses a specific personal impact of the workload concern with concrete detail about sleep deprivation.", "confidence": 1.0}, {"quote_text": "I think the weeks before, they didn't engage that much.", "topic": "leadership_engagement", "first_order_code": "leadership not engaging much in prior weeks", "flagging_reason": "States a concern about leadership behavior in a straightforward but mildly hedged way.", "confidence": 0.9}, {"quote_text": "we also discussed our working hours and the work intensity and what we could do better, but it was more of a reasoning why the working hours are that intense, but not really a plan forward on how we can improve the working hours or how we can distribute it a little bit more.", "topic": "leadership_engagement", "first_order_code": "discussion produced reasons not a plan to improve hours", "flagging_reason": "Reveals frustration that a leadership discussion about the workload problem did not lead to actionable solutions.", "confidence": 0.95}, {"quote_text": "I think they think about ways to improve it, that's for sure. So I think they definitely noticed that something's not going that well. But yeah, hopefully, we can see some results of these discussions.", "topic": "leadership_engagement", "first_order_code": "hoping to see results from leadership noticing the problem", "flagging_reason": "Expresses uncertainty about whether leadership awareness will translate into actual change, hedged with hopefulness.", "confidence": 0.85}, {"quote_text": "I think the MDPs could value our work a little bit more. I think they're doing that in the last couple of days more and more.", "topic": "leadership_engagement", "first_order_code": "MDPs could value our work more than they have", "flagging_reason": "Raises a concern about recognition from senior leaders but immediately softens it by noting recent improvement.", "confidence": 0.9}]}</t>
  </si>
  <si>
    <t>I think the MDPs could value our work a little bit more. I think they're doing that in the last couple of days more and more.</t>
  </si>
  <si>
    <t>Raises a concern about recognition from senior leaders but immediately softens it by noting recent improvement.</t>
  </si>
  <si>
    <t>MDPs could value our work more than they have</t>
  </si>
  <si>
    <t>FAMILY_A_CONCERN_CONTENT</t>
  </si>
  <si>
    <t>I think the weeks before, they didn't engage that much.</t>
  </si>
  <si>
    <t>States a concern about leadership behavior in a straightforward but mildly hedged way.</t>
  </si>
  <si>
    <t>leadership not engaging much in prior weeks</t>
  </si>
  <si>
    <t>I think they think about ways to improve it, that's for sure. So I think they definitely noticed that something's not going that well. But yeah, hopefully, we can see some results of these discussions.</t>
  </si>
  <si>
    <t>Expresses uncertainty about whether leadership awareness will translate into actual change, hedged with hopefulness.</t>
  </si>
  <si>
    <t>hoping to see results from leadership noticing the problem</t>
  </si>
  <si>
    <t>Aspirational framing of unmet needs</t>
  </si>
  <si>
    <t>we also discussed our working hours and the work intensity and what we could do better, but it was more of a reasoning why the working hours are that intense, but not really a plan forward on how we can improve the working hours or how we can distribute it a little bit more.</t>
  </si>
  <si>
    <t>Reveals frustration that a leadership discussion about the workload problem did not lead to actionable solutions.</t>
  </si>
  <si>
    <t>discussion produced reasons not a plan to improve hours</t>
  </si>
  <si>
    <t>Skepticism toward remedy</t>
  </si>
  <si>
    <t>on the other side, especially from Monday to Wednesday, we had really intense working hours, working very late, after midnight. So yeah, I think there is still room for improvement.</t>
  </si>
  <si>
    <t>Discloses a work concern about extreme hours but softens it with understated phrasing 'room for improvement.'</t>
  </si>
  <si>
    <t>working after midnight with room for improvement</t>
  </si>
  <si>
    <t>Normalization of extreme conditions</t>
  </si>
  <si>
    <t>we need, or we have a delivery, which is the... Or we had a delivery last Friday. We have an additional delivery this Friday. So there are a lot of deliverables, and especially the finance team covers a lot of topics for these deliverables. So therefore, the working hours are very intense.</t>
  </si>
  <si>
    <t>Attributes the problem to project demands rather than management decisions, showing how the concern is framed.</t>
  </si>
  <si>
    <t>explaining intense hours by volume of deliverables</t>
  </si>
  <si>
    <t>Externalizing accountability</t>
  </si>
  <si>
    <t>I think in general, it's not really sustainable what we're doing at the moment because we're working very late and nearly every day, we finish far after midnight.</t>
  </si>
  <si>
    <t>Directly states a work concern about unsustainability of current working pattern.</t>
  </si>
  <si>
    <t>finishing after midnight nearly every day is not sustainable</t>
  </si>
  <si>
    <t>it's not possible to get enough sleep during the week. I think during most of the days within the week, we just get five or six hours of sleep or even less, and I think that's not sustainable to keep it that way over a long period.</t>
  </si>
  <si>
    <t>Discloses a specific personal impact of the workload concern with concrete detail about sleep deprivation.</t>
  </si>
  <si>
    <t>getting five to six hours of sleep or less most days</t>
  </si>
  <si>
    <t>{"session_id": "08dde59d-27bc-4a1e-8d8f-7cd6a04ed4d3", "quotes": [{"quote_text": "Because of the deliverable, it was quite challenging and not always foreseeable.", "topic": "workload_sustainability", "first_order_code": "workload hard to predict in advance", "flagging_reason": "Participant describes a work difficulty around unpredictability of demands, though softened by positive framing afterward.", "confidence": 0.85}, {"quote_text": "Um, but in the end, still we managed, uh, an okay-ish balance, so I'm happy.", "topic": "workload_sustainability", "first_order_code": "achieving only an 'okay-ish' balance", "flagging_reason": "Hedged language ('okay-ish') suggests the balance was less than ideal, though wrapped in a positive conclusion.", "confidence": 0.75}, {"quote_text": "That I'm not just sleeping the whole weekend.", "topic": "workload_sustainability", "first_order_code": "measuring success by not sleeping all weekend", "flagging_reason": "Participant uses humor to describe the bar for work-life balance as very low, implying significant fatigue or strain.", "confidence": 0.9}]}</t>
  </si>
  <si>
    <t>Because of the deliverable, it was quite challenging and not always foreseeable.</t>
  </si>
  <si>
    <t>Participant describes a work difficulty around unpredictability of demands, though softened by positive framing afterward.</t>
  </si>
  <si>
    <t>workload hard to predict in advance</t>
  </si>
  <si>
    <t>That I'm not just sleeping the whole weekend.</t>
  </si>
  <si>
    <t>Participant uses humor to describe the bar for work-life balance as very low, implying significant fatigue or strain.</t>
  </si>
  <si>
    <t>measuring success by not sleeping all weekend</t>
  </si>
  <si>
    <t>Um, but in the end, still we managed, uh, an okay-ish balance, so I'm happy.</t>
  </si>
  <si>
    <t>Hedged language ('okay-ish') suggests the balance was less than ideal, though wrapped in a positive conclusion.</t>
  </si>
  <si>
    <t>achieving only an 'okay-ish' balance</t>
  </si>
  <si>
    <t>Qualifying severity while disclosing</t>
  </si>
  <si>
    <t>{"session_id": "09290b39-0fb4-4096-b357-c0e613b92790", "quotes": [{"quote_text": "whenever there was anyone under pressure, we tried to effectively, and even sometimes autonomously without leadership, try to balance the work", "topic": "overall_experience", "first_order_code": "team self-organizing to relieve pressure without leadership", "flagging_reason": "Indicates recurring pressure situations that require team intervention, suggesting workload distribution issues.", "confidence": 0.75}, {"quote_text": "Lily has a lot of, a lot of stuff on her plate. Is there anyone who can help her out?", "topic": "overall_experience", "first_order_code": "team member visibly overloaded needing help", "flagging_reason": "Names a specific colleague under excessive workload requiring peer intervention.", "confidence": 0.85}, {"quote_text": "we do scope up or scope down also for depending on the, uh, capacity that we have", "topic": "client_value", "first_order_code": "adjusting project scope based on available capacity", "flagging_reason": "Suggests capacity constraints that require compromising on deliverable scope.", "confidence": 0.7}]}</t>
  </si>
  <si>
    <t>we do scope up or scope down also for depending on the, uh, capacity that we have</t>
  </si>
  <si>
    <t>client_value</t>
  </si>
  <si>
    <t>Suggests capacity constraints that require compromising on deliverable scope.</t>
  </si>
  <si>
    <t>adjusting project scope based on available capacity</t>
  </si>
  <si>
    <t>Lily has a lot of, a lot of stuff on her plate. Is there anyone who can help her out?</t>
  </si>
  <si>
    <t>Names a specific colleague under excessive workload requiring peer intervention.</t>
  </si>
  <si>
    <t>team member visibly overloaded needing help</t>
  </si>
  <si>
    <t>whenever there was anyone under pressure, we tried to effectively, and even sometimes autonomously without leadership, try to balance the work</t>
  </si>
  <si>
    <t>Indicates recurring pressure situations that require team intervention, suggesting workload distribution issues.</t>
  </si>
  <si>
    <t>team self-organizing to relieve pressure without leadership</t>
  </si>
  <si>
    <t>{"session_id": "0cd48389-6426-4350-b917-cf51f877451a", "quotes": [{"quote_text": "what could be improved is, I would say, that I know better what to do and what the overall goal is that we're trying to achieve.", "topic": "overall_experience", "first_order_code": "not knowing what to do or what the goal is", "flagging_reason": "Expresses a problem with clarity of task and purpose, stated as something that could be improved.", "confidence": 0.95}, {"quote_text": "I think it's more that no one ever properly explained it to me. And I, as I'm a new turn, I cannot join the partner meetings. So I don't really know what overall direction we are going.", "topic": "overall_experience", "first_order_code": "not knowing project direction because too junior for partner meetings", "flagging_reason": "Describes an information gap caused by exclusion from meetings, with mild attribution to being new.", "confidence": 1.0}, {"quote_text": "I don't really know who is going to receive this and what perspective they have, so what knowledge they have so far. So I don't really know how to formulate the slide.", "topic": "overall_experience", "first_order_code": "not knowing the audience or how to prepare the work", "flagging_reason": "Shows concrete friction in task execution due to lack of context about recipients.", "confidence": 0.95}, {"quote_text": "I think it is sustainable, but sometimes it's really time pressured, and then I don't have enough time to do it.", "topic": "workload_sustainability", "first_order_code": "not having enough time when deadlines are tight", "flagging_reason": "States a positive surface claim then immediately qualifies it with a time pressure concern.", "confidence": 0.9}, {"quote_text": "the next meeting is coming up really soon, and we always need to produce new slides for the next upcoming meeting.", "topic": "workload_sustainability", "first_order_code": "always needing to produce new slides for tight deadlines", "flagging_reason": "Describes the recurring pressure source that creates the time constraint mentioned earlier.", "confidence": 0.85}, {"quote_text": "I don't know if it's really giving more value in the end, but this is because of the client, because I think he wants the slides to change again and again.", "topic": "client_value", "first_order_code": "unsure if repeated changes actually add value", "flagging_reason": "Expresses doubt about the value of the work while attributing the problem to client requests rather than internal factors.", "confidence": 0.95}, {"quote_text": "For me personally, not so visible, but I think this depends, or this is because of my setting of how I am only working for one other consultant.", "topic": "leadership_engagement", "first_order_code": "leadership not visible but attributing it to my work setup", "flagging_reason": "Reports a limitation in leadership visibility but immediately reattributes it to own work arrangement rather than leadership itself.", "confidence": 0.9}]}</t>
  </si>
  <si>
    <t>I don't know if it's really giving more value in the end, but this is because of the client, because I think he wants the slides to change again and again.</t>
  </si>
  <si>
    <t>Expresses doubt about the value of the work while attributing the problem to client requests rather than internal factors.</t>
  </si>
  <si>
    <t>unsure if repeated changes actually add value</t>
  </si>
  <si>
    <t>Epistemic hedging</t>
  </si>
  <si>
    <t>For me personally, not so visible, but I think this depends, or this is because of my setting of how I am only working for one other consultant.</t>
  </si>
  <si>
    <t>Reports a limitation in leadership visibility but immediately reattributes it to own work arrangement rather than leadership itself.</t>
  </si>
  <si>
    <t>leadership not visible but attributing it to my work setup</t>
  </si>
  <si>
    <t>Self-attributing structural problems</t>
  </si>
  <si>
    <t>I don't really know who is going to receive this and what perspective they have, so what knowledge they have so far. So I don't really know how to formulate the slide.</t>
  </si>
  <si>
    <t>Shows concrete friction in task execution due to lack of context about recipients.</t>
  </si>
  <si>
    <t>not knowing the audience or how to prepare the work</t>
  </si>
  <si>
    <t>I think it's more that no one ever properly explained it to me. And I, as I'm a new turn, I cannot join the partner meetings. So I don't really know what overall direction we are going.</t>
  </si>
  <si>
    <t>Describes an information gap caused by exclusion from meetings, with mild attribution to being new.</t>
  </si>
  <si>
    <t>not knowing project direction because too junior for partner meetings</t>
  </si>
  <si>
    <t>what could be improved is, I would say, that I know better what to do and what the overall goal is that we're trying to achieve.</t>
  </si>
  <si>
    <t>Expresses a problem with clarity of task and purpose, stated as something that could be improved.</t>
  </si>
  <si>
    <t>not knowing what to do or what the goal is</t>
  </si>
  <si>
    <t>I think it is sustainable, but sometimes it's really time pressured, and then I don't have enough time to do it.</t>
  </si>
  <si>
    <t>States a positive surface claim then immediately qualifies it with a time pressure concern.</t>
  </si>
  <si>
    <t>not having enough time when deadlines are tight</t>
  </si>
  <si>
    <t>the next meeting is coming up really soon, and we always need to produce new slides for the next upcoming meeting.</t>
  </si>
  <si>
    <t>Describes the recurring pressure source that creates the time constraint mentioned earlier.</t>
  </si>
  <si>
    <t>always needing to produce new slides for tight deadlines</t>
  </si>
  <si>
    <t>{"session_id": "15871008-ca09-43b2-b187-3f5e23648170", "quotes": [{"quote_text": "Actually, we didn't have that much output last week as our main meeting in the middle of the week, basically on Thursday, was on a public holiday day.", "topic": "client_value", "first_order_code": "delivering less output because key meeting fell on a holiday", "flagging_reason": "Identifies a work limitation (reduced output) tied to scheduling constraints, even though stated matter-of-factly.", "confidence": 0.75}]}</t>
  </si>
  <si>
    <t>Actually, we didn't have that much output last week as our main meeting in the middle of the week, basically on Thursday, was on a public holiday day.</t>
  </si>
  <si>
    <t>Identifies a work limitation (reduced output) tied to scheduling constraints, even though stated matter-of-factly.</t>
  </si>
  <si>
    <t>delivering less output because key meeting fell on a holiday</t>
  </si>
  <si>
    <t>{"session_id": "15d8b27c-469f-4272-8b96-4ed69ac41634", "quotes": [{"quote_text": "not very much engagement, but also not needed, so everything fine", "topic": "leadership_engagement", "first_order_code": "low engagement framed as acceptable because not needed", "flagging_reason": "Participant minimizes a potential concern by immediately justifying that low engagement is fine in this context.", "confidence": 0.75}]}</t>
  </si>
  <si>
    <t>not very much engagement, but also not needed, so everything fine</t>
  </si>
  <si>
    <t>Participant minimizes a potential concern by immediately justifying that low engagement is fine in this context.</t>
  </si>
  <si>
    <t>low engagement framed as acceptable because not needed</t>
  </si>
  <si>
    <t>Compensatory reframing</t>
  </si>
  <si>
    <t>{"session_id": "1783f47a-7863-4476-b610-31281650b181", "quotes": [{"quote_text": "that, that not, did not happen the last weeks because I was in the US and, uh, the others were in Germany.", "topic": "overall_experience", "first_order_code": "lost co-location due to geographic split", "flagging_reason": "Points to a disruption in team collaboration caused by physical separation across continents.", "confidence": 0.75}, {"quote_text": "the weeks prior to, to last week were more intense", "topic": "workload_sustainability", "first_order_code": "prior weeks were more intense than last week", "flagging_reason": "Acknowledges a workload concern in recent past, contrasted with current lighter week.", "confidence": 0.7}, {"quote_text": "This is also due to the time difference to the US and, and other commitments that our senior stakeholders had.", "topic": "workload_sustainability", "first_order_code": "lighter workload tied to senior stakeholder unavailability", "flagging_reason": "Attributes reduced workload to external factors rather than improved workflow, suggesting structural friction.", "confidence": 0.8}, {"quote_text": "the client often derails, which makes it harder to prioritize and to also, um, push back because certain topics come up, uh, all the time.", "topic": "client_value", "first_order_code": "client derails priorities making it hard to push back", "flagging_reason": "Expresses difficulty maintaining focus and setting boundaries due to client behavior.", "confidence": 0.95}, {"quote_text": "I know there are several projects running, uh, which makes it harder to, to engage fully.", "topic": "leadership_engagement", "first_order_code": "leadership spread across projects makes full engagement harder", "flagging_reason": "Acknowledges a limitation in leadership availability softened by attributing it to workload context.", "confidence": 0.85}]}</t>
  </si>
  <si>
    <t>the client often derails, which makes it harder to prioritize and to also, um, push back because certain topics come up, uh, all the time.</t>
  </si>
  <si>
    <t>Expresses difficulty maintaining focus and setting boundaries due to client behavior.</t>
  </si>
  <si>
    <t>client derails priorities making it hard to push back</t>
  </si>
  <si>
    <t>I know there are several projects running, uh, which makes it harder to, to engage fully.</t>
  </si>
  <si>
    <t>Acknowledges a limitation in leadership availability softened by attributing it to workload context.</t>
  </si>
  <si>
    <t>leadership spread across projects makes full engagement harder</t>
  </si>
  <si>
    <t>that, that not, did not happen the last weeks because I was in the US and, uh, the others were in Germany.</t>
  </si>
  <si>
    <t>Points to a disruption in team collaboration caused by physical separation across continents.</t>
  </si>
  <si>
    <t>lost co-location due to geographic split</t>
  </si>
  <si>
    <t>This is also due to the time difference to the US and, and other commitments that our senior stakeholders had.</t>
  </si>
  <si>
    <t>Attributes reduced workload to external factors rather than improved workflow, suggesting structural friction.</t>
  </si>
  <si>
    <t>lighter workload tied to senior stakeholder unavailability</t>
  </si>
  <si>
    <t>the weeks prior to, to last week were more intense</t>
  </si>
  <si>
    <t>Acknowledges a workload concern in recent past, contrasted with current lighter week.</t>
  </si>
  <si>
    <t>prior weeks were more intense than last week</t>
  </si>
  <si>
    <t>{"session_id": "1a9374ce-a316-4c07-a7cb-d1370fd93475", "quotes": [{"quote_text": "I think sometimes we can be even more efficient within feedback circles.", "topic": "overall_experience", "first_order_code": "feeling feedback circles could be more efficient", "flagging_reason": "Participant identifies a friction point in team processes while discussing a generally positive experience.", "confidence": 0.85}, {"quote_text": "I think sometimes we have a lot of alignment sessions, alignment loops, um, which is sometimes maybe, you know, we can improve even better on making this more efficient.", "topic": "leadership_engagement", "first_order_code": "too many alignment sessions slowing things down", "flagging_reason": "Participant softens a concern about excessive meetings with hedging language and suggestion for improvement.", "confidence": 0.9}]}</t>
  </si>
  <si>
    <t>I think sometimes we have a lot of alignment sessions, alignment loops, um, which is sometimes maybe, you know, we can improve even better on making this more efficient.</t>
  </si>
  <si>
    <t>Participant softens a concern about excessive meetings with hedging language and suggestion for improvement.</t>
  </si>
  <si>
    <t>too many alignment sessions slowing things down</t>
  </si>
  <si>
    <t>I think sometimes we can be even more efficient within feedback circles.</t>
  </si>
  <si>
    <t>Participant identifies a friction point in team processes while discussing a generally positive experience.</t>
  </si>
  <si>
    <t>feeling feedback circles could be more efficient</t>
  </si>
  <si>
    <t>{"session_id": "1bd3f940-d5d8-4bd7-a2b2-1fc66fc0f4a2", "quotes": [{"quote_text": "I would say, um, load balancing, especially for Lily. Uh, I think she's now staffed on, um, two projects basically, and it's a bit hard, I think, then to clearly show, you know, the capacity for her.", "topic": "overall_experience", "first_order_code": "colleague staffed on two projects making capacity unclear", "flagging_reason": "Raises a work concern about a named colleague's workload allocation and visibility.", "confidence": 0.95}, {"quote_text": "I would say su- sustainable-ish.", "topic": "workload_sustainability", "first_order_code": "workload only sustainable-ish", "flagging_reason": "Hedges the sustainability assessment with a qualifier that suggests it is not fully sustainable.", "confidence": 0.85}, {"quote_text": "I think the Wattenfall project was pretty hectic, um, as expected, and also the Avato demo one is also pretty hectic.", "topic": "workload_sustainability", "first_order_code": "two projects running pretty hectic", "flagging_reason": "States work intensity concern across two named projects, softened with 'as expected'.", "confidence": 0.9}, {"quote_text": "Um, so I think we need to do a better job of owning the process.", "topic": "workload_sustainability", "first_order_code": "team needs to do better job owning the process", "flagging_reason": "Identifies a process gap or friction that needs improvement.", "confidence": 0.9}, {"quote_text": "Um, basically, we don't follow a new normal. And... Oh, no, actually, that's not true. New normal is kinda...is okay", "topic": "workload_sustainability", "first_order_code": "self-correcting initial claim about not following new normal", "flagging_reason": "Initially raises a concern about process adherence, then immediately retracts and softens it.", "confidence": 0.8}, {"quote_text": "for example, starting before 9:00 and having to work while team dinners, et cetera. Not great, but also, I think, manageable and will be better in the future.", "topic": "workload_sustainability", "first_order_code": "starting early and working during team dinners not great but manageable", "flagging_reason": "States a work-life boundary concern but immediately minimizes it as manageable and temporary.", "confidence": 0.95}]}</t>
  </si>
  <si>
    <t>I would say, um, load balancing, especially for Lily. Uh, I think she's now staffed on, um, two projects basically, and it's a bit hard, I think, then to clearly show, you know, the capacity for her.</t>
  </si>
  <si>
    <t>Raises a work concern about a named colleague's workload allocation and visibility.</t>
  </si>
  <si>
    <t>colleague staffed on two projects making capacity unclear</t>
  </si>
  <si>
    <t>I think the Wattenfall project was pretty hectic, um, as expected, and also the Avato demo one is also pretty hectic.</t>
  </si>
  <si>
    <t>States work intensity concern across two named projects, softened with 'as expected'.</t>
  </si>
  <si>
    <t>two projects running pretty hectic</t>
  </si>
  <si>
    <t>I would say su- sustainable-ish.</t>
  </si>
  <si>
    <t>Hedges the sustainability assessment with a qualifier that suggests it is not fully sustainable.</t>
  </si>
  <si>
    <t>workload only sustainable-ish</t>
  </si>
  <si>
    <t>Um, basically, we don't follow a new normal. And... Oh, no, actually, that's not true. New normal is kinda...is okay</t>
  </si>
  <si>
    <t>Initially raises a concern about process adherence, then immediately retracts and softens it.</t>
  </si>
  <si>
    <t>self-correcting initial claim about not following new normal</t>
  </si>
  <si>
    <t>Retracting or qualifying disclosure</t>
  </si>
  <si>
    <t>Um, so I think we need to do a better job of owning the process.</t>
  </si>
  <si>
    <t>Identifies a process gap or friction that needs improvement.</t>
  </si>
  <si>
    <t>team needs to do better job owning the process</t>
  </si>
  <si>
    <t>for example, starting before 9:00 and having to work while team dinners, et cetera. Not great, but also, I think, manageable and will be better in the future.</t>
  </si>
  <si>
    <t>States a work-life boundary concern but immediately minimizes it as manageable and temporary.</t>
  </si>
  <si>
    <t>starting early and working during team dinners not great but manageable</t>
  </si>
  <si>
    <t>{"session_id": "1e5026c9-80f3-4733-b2aa-41d8b86ca310", "quotes": [{"quote_text": "I feel like across the team, sometimes we're not, um, uh, doing a good enough job of equalizing the workload. But then again, that's very difficult to, to tell from the outside. So, um, maybe that's something we have to explore in more depths, but I don't really know how to create more transparency.", "topic": "client_value", "first_order_code": "workload not equally distributed across team members", "flagging_reason": "Identifies an internal team friction around unequal workload but immediately softens it by saying it's hard to judge from outside and expresses uncertainty about how to address it.", "confidence": 0.9}, {"quote_text": "I wanted to notice, uh, note one more thing. We also had a fantastic team dinner last week, so I think that also helped with bonding and just making sure that, um, everyone, uh, felt seen and welcome. And I want to note that one of the principals was there, uh, and the rest of the leadership unfortunately wasn't.", "topic": "leadership_engagement", "first_order_code": "most of leadership absent from the team dinner", "flagging_reason": "Embeds a critique of leadership absence within positive framing about the event, qualifying the praise with a concern about who was missing.", "confidence": 0.85}, {"quote_text": "I think it would be great if Andre would join one of those CTMs in person, um, just to get to know the team, because obviously we have a lot of turnaround, and some people just have never seen him in person. That's, I think, uh, something we should resolve.", "topic": "leadership_engagement", "first_order_code": "leader hasn't met team members in person due to turnover", "flagging_reason": "Raises a leadership visibility issue framed as a suggestion, noting that high turnover means some team members have never physically met the leader.", "confidence": 0.9}]}</t>
  </si>
  <si>
    <t>I feel like across the team, sometimes we're not, um, uh, doing a good enough job of equalizing the workload. But then again, that's very difficult to, to tell from the outside. So, um, maybe that's something we have to explore in more depths, but I don't really know how to create more transparency.</t>
  </si>
  <si>
    <t>Identifies an internal team friction around unequal workload but immediately softens it by saying it's hard to judge from outside and expresses uncertainty about how to address it.</t>
  </si>
  <si>
    <t>workload not equally distributed across team members</t>
  </si>
  <si>
    <t>I think it would be great if Andre would join one of those CTMs in person, um, just to get to know the team, because obviously we have a lot of turnaround, and some people just have never seen him in person. That's, I think, uh, something we should resolve.</t>
  </si>
  <si>
    <t>Raises a leadership visibility issue framed as a suggestion, noting that high turnover means some team members have never physically met the leader.</t>
  </si>
  <si>
    <t>leader hasn't met team members in person due to turnover</t>
  </si>
  <si>
    <t>I wanted to notice, uh, note one more thing. We also had a fantastic team dinner last week, so I think that also helped with bonding and just making sure that, um, everyone, uh, felt seen and welcome. And I want to note that one of the principals was there, uh, and the rest of the leadership unfortunately wasn't.</t>
  </si>
  <si>
    <t>Embeds a critique of leadership absence within positive framing about the event, qualifying the praise with a concern about who was missing.</t>
  </si>
  <si>
    <t>most of leadership absent from the team dinner</t>
  </si>
  <si>
    <t>{"session_id": "24bc3383-4609-4108-a3ac-66837ea21453", "quotes": [{"quote_text": "What can be improved is the working hours, given we've been working until 2:00, 3:00 AM, uh, consecutively throughout past, the past week.", "topic": "overall_experience", "first_order_code": "working until 2 or 3 AM multiple nights in a row", "flagging_reason": "Describes an extreme work pattern as something that needs improvement.", "confidence": 0.95}, {"quote_text": "Um, my ears are hurting, and I have a bit of a pressure, um, that is going on in my ears, probably due to lack of sleep, which has been going on in the past one or two weeks.", "topic": "workload_sustainability", "first_order_code": "physical symptoms from lack of sleep over two weeks", "flagging_reason": "Discloses physical health impact linked to sustained sleep deprivation from work.", "confidence": 0.98}, {"quote_text": "Not for now. We can stop here.", "topic": "workload_sustainability", "first_order_code": "declining to continue the conversation about wellbeing", "flagging_reason": "Terminates the workload sustainability discussion after disclosing health symptoms, suggesting reluctance to elaborate further.", "confidence": 0.85}]}</t>
  </si>
  <si>
    <t>What can be improved is the working hours, given we've been working until 2:00, 3:00 AM, uh, consecutively throughout past, the past week.</t>
  </si>
  <si>
    <t>Describes an extreme work pattern as something that needs improvement.</t>
  </si>
  <si>
    <t>working until 2 or 3 AM multiple nights in a row</t>
  </si>
  <si>
    <t>Not for now. We can stop here.</t>
  </si>
  <si>
    <t>Terminates the workload sustainability discussion after disclosing health symptoms, suggesting reluctance to elaborate further.</t>
  </si>
  <si>
    <t>declining to continue the conversation about wellbeing</t>
  </si>
  <si>
    <t>Refusal to elaborate under probing</t>
  </si>
  <si>
    <t>Um, my ears are hurting, and I have a bit of a pressure, um, that is going on in my ears, probably due to lack of sleep, which has been going on in the past one or two weeks.</t>
  </si>
  <si>
    <t>Discloses physical health impact linked to sustained sleep deprivation from work.</t>
  </si>
  <si>
    <t>physical symptoms from lack of sleep over two weeks</t>
  </si>
  <si>
    <t>{"session_id": "2577abb2-3507-4ffc-b169-75599bdce114", "quotes": [{"quote_text": "we sometimes sit at least till 10:00", "topic": "workload_sustainability", "first_order_code": "working until 10pm at least sometimes", "flagging_reason": "Reveals late working hours as a recurring pattern, though framed positively overall.", "confidence": 0.85}]}</t>
  </si>
  <si>
    <t>we sometimes sit at least till 10:00</t>
  </si>
  <si>
    <t>Reveals late working hours as a recurring pattern, though framed positively overall.</t>
  </si>
  <si>
    <t>working until 10pm at least sometimes</t>
  </si>
  <si>
    <t>{"session_id": "2a84554a-7170-4940-879a-15d31dd55933", "quotes": [{"quote_text": "I think we just need sort of guidance on some of the key issues and key questions.", "topic": "leadership_engagement", "first_order_code": "needing guidance on key issues and questions", "flagging_reason": "States a gap or need in leadership support, softened with 'just' and 'sort of', indicating a mild concern.", "confidence": 0.75}]}</t>
  </si>
  <si>
    <t>I think we just need sort of guidance on some of the key issues and key questions.</t>
  </si>
  <si>
    <t>States a gap or need in leadership support, softened with 'just' and 'sort of', indicating a mild concern.</t>
  </si>
  <si>
    <t>needing guidance on key issues and questions</t>
  </si>
  <si>
    <t>{"session_id": "2c57c514-54c4-46b9-9923-5c980570c4b9", "quotes": [{"quote_text": "It was quite okay, except for Friday because, like, some extra tasks occurred, but that's life, that's consulting, so I think that's all I can say on this topic.", "topic": "workload_sustainability", "first_order_code": "Friday disruption normalized as part of consulting", "flagging_reason": "Surfaces a workload issue on Friday but immediately minimizes it as expected and closes off further discussion.", "confidence": 0.85}, {"quote_text": "I cannot comment.", "topic": "leadership_engagement", "first_order_code": "unable or unwilling to comment on leadership", "flagging_reason": "Refuses to provide substantive input on leadership involvement, suggesting withholding or constraints.", "confidence": 0.75}, {"quote_text": "I just feel like the leadership involv- involvement was fine, but there's nothing more for me to say.", "topic": "leadership_engagement", "first_order_code": "no additional comment beyond saying leadership was fine", "flagging_reason": "Offers minimal positive assessment then explicitly closes off further discussion on the topic.", "confidence": 0.8}, {"quote_text": "I think we talked way more than enough.", "topic": "closing", "first_order_code": "signaling the conversation has gone on too long", "flagging_reason": "Expresses discomfort or fatigue with the interview length, indicating a desire to disengage.", "confidence": 0.78}]}</t>
  </si>
  <si>
    <t>I think we talked way more than enough.</t>
  </si>
  <si>
    <t>closing</t>
  </si>
  <si>
    <t>Expresses discomfort or fatigue with the interview length, indicating a desire to disengage.</t>
  </si>
  <si>
    <t>signaling the conversation has gone on too long</t>
  </si>
  <si>
    <t>I cannot comment.</t>
  </si>
  <si>
    <t>Refuses to provide substantive input on leadership involvement, suggesting withholding or constraints.</t>
  </si>
  <si>
    <t>unable or unwilling to comment on leadership</t>
  </si>
  <si>
    <t>Disclaiming assessment capacity</t>
  </si>
  <si>
    <t>I just feel like the leadership involv- involvement was fine, but there's nothing more for me to say.</t>
  </si>
  <si>
    <t>Offers minimal positive assessment then explicitly closes off further discussion on the topic.</t>
  </si>
  <si>
    <t>no additional comment beyond saying leadership was fine</t>
  </si>
  <si>
    <t>It was quite okay, except for Friday because, like, some extra tasks occurred, but that's life, that's consulting, so I think that's all I can say on this topic.</t>
  </si>
  <si>
    <t>Surfaces a workload issue on Friday but immediately minimizes it as expected and closes off further discussion.</t>
  </si>
  <si>
    <t>Friday disruption normalized as part of consulting</t>
  </si>
  <si>
    <t>{"session_id": "2e458347-aab7-4926-8be1-5271da5b2c65", "quotes": [{"quote_text": "Well, I think that, um, the leadership, uh, where I, I could feel that the leadership, uh, had also, uh, has an increased amount of topics that they are now covering. So, um, it felt like the time is very li- uh, not very limited, but they are... You could feel that they have now more topics than they may be used to.", "topic": "leadership_engagement", "first_order_code": "leadership stretched across more topics than usual", "flagging_reason": "Surfaces a concern about leadership capacity, then immediately self-corrects to soften the statement about time being limited.", "confidence": 0.85}, {"quote_text": "Um, and so this really put more focus on the CTMs that we had to be very effective in them. Um, and I think in the past, we are sometimes a bit better in-Really? ... going deeper into the topics, huh?", "topic": "leadership_engagement", "first_order_code": "not going as deep in meetings as we used to", "flagging_reason": "Expresses a concern about meeting quality being reduced, then trails off and questions themselves mid-statement.", "confidence": 0.8}, {"quote_text": "I don't know.", "topic": "leadership_engagement", "first_order_code": "backing away from the leadership topic", "flagging_reason": "Functions as a closing-off immediately after surfacing concerns about leadership engagement and meeting depth.", "confidence": 0.75}]}</t>
  </si>
  <si>
    <t>I don't know.</t>
  </si>
  <si>
    <t>Functions as a closing-off immediately after surfacing concerns about leadership engagement and meeting depth.</t>
  </si>
  <si>
    <t>backing away from the leadership topic</t>
  </si>
  <si>
    <t>Um, and so this really put more focus on the CTMs that we had to be very effective in them. Um, and I think in the past, we are sometimes a bit better in-Really? ... going deeper into the topics, huh?</t>
  </si>
  <si>
    <t>Expresses a concern about meeting quality being reduced, then trails off and questions themselves mid-statement.</t>
  </si>
  <si>
    <t>not going as deep in meetings as we used to</t>
  </si>
  <si>
    <t>Well, I think that, um, the leadership, uh, where I, I could feel that the leadership, uh, had also, uh, has an increased amount of topics that they are now covering. So, um, it felt like the time is very li- uh, not very limited, but they are... You could feel that they have now more topics than they may be used to.</t>
  </si>
  <si>
    <t>Surfaces a concern about leadership capacity, then immediately self-corrects to soften the statement about time being limited.</t>
  </si>
  <si>
    <t>leadership stretched across more topics than usual</t>
  </si>
  <si>
    <t>{"session_id": "315b7c5e-7a25-4d02-adf0-907d0d6bd7bd", "quotes": [{"quote_text": "But what could be improved, um, maybe having these vibes throughout the whole week or month.", "topic": "overall_experience", "first_order_code": "team vibes not lasting beyond the event", "flagging_reason": "Identifies a limitation in team dynamics that exists outside the structured team event.", "confidence": 0.85}, {"quote_text": "I think because an open space was created where you could speak up, talk about your feelings, and it felt kind of separate to the normal daily routine.", "topic": "overall_experience", "first_order_code": "openness feeling separate from normal work routine", "flagging_reason": "Describes a friction between where speaking up is safe versus normal work conditions.", "confidence": 0.9}, {"quote_text": "It has been around the standard working hours, but also I could not finish earlier, so I always worked until midnight, until 8:00 p.m., until 6:00 p.m. minimum.", "topic": "workload_sustainability", "first_order_code": "never finishing before 6pm regardless of the week", "flagging_reason": "Qualifies initial positive statement with a constraint showing consistent inability to end work earlier.", "confidence": 0.95}, {"quote_text": "Um, because very often, later during the day, I have to wait for input from other people or the client or my boss, and then I have to do, um, or work on the, um, the improvements and suggestions, so it takes quite long.", "topic": "workload_sustainability", "first_order_code": "working late because waiting for input that arrives late", "flagging_reason": "Explains a work problem caused by dependency on others' late-day contributions.", "confidence": 0.9}, {"quote_text": "I think we are quite focused on it, but also to be honest, from my position, I don't work with the client directly, so I don't really know how much we're, um, really delivering good value to the client.", "topic": "client_value", "first_order_code": "not knowing if we deliver value because not working directly with client", "flagging_reason": "Qualifies positive statement with admission of limited visibility into actual client impact.", "confidence": 0.85}]}</t>
  </si>
  <si>
    <t>I think we are quite focused on it, but also to be honest, from my position, I don't work with the client directly, so I don't really know how much we're, um, really delivering good value to the client.</t>
  </si>
  <si>
    <t>Qualifies positive statement with admission of limited visibility into actual client impact.</t>
  </si>
  <si>
    <t>not knowing if we deliver value because not working directly with client</t>
  </si>
  <si>
    <t>But what could be improved, um, maybe having these vibes throughout the whole week or month.</t>
  </si>
  <si>
    <t>Identifies a limitation in team dynamics that exists outside the structured team event.</t>
  </si>
  <si>
    <t>team vibes not lasting beyond the event</t>
  </si>
  <si>
    <t>I think because an open space was created where you could speak up, talk about your feelings, and it felt kind of separate to the normal daily routine.</t>
  </si>
  <si>
    <t>Describes a friction between where speaking up is safe versus normal work conditions.</t>
  </si>
  <si>
    <t>openness feeling separate from normal work routine</t>
  </si>
  <si>
    <t>Compartmentalizing the AI channel</t>
  </si>
  <si>
    <t>It has been around the standard working hours, but also I could not finish earlier, so I always worked until midnight, until 8:00 p.m., until 6:00 p.m. minimum.</t>
  </si>
  <si>
    <t>Qualifies initial positive statement with a constraint showing consistent inability to end work earlier.</t>
  </si>
  <si>
    <t>never finishing before 6pm regardless of the week</t>
  </si>
  <si>
    <t>Um, because very often, later during the day, I have to wait for input from other people or the client or my boss, and then I have to do, um, or work on the, um, the improvements and suggestions, so it takes quite long.</t>
  </si>
  <si>
    <t>Explains a work problem caused by dependency on others' late-day contributions.</t>
  </si>
  <si>
    <t>working late because waiting for input that arrives late</t>
  </si>
  <si>
    <t>{"session_id": "34fcc12f-9af1-4628-aec2-3210e095ef5e", "quotes": [{"quote_text": "the workload is definitely too high, so way too much work is allocated on each team member", "topic": "overall_experience", "first_order_code": "way too much work allocated per person", "flagging_reason": "States a clear concern about excessive workload distribution.", "confidence": 1.0}, {"quote_text": "This is especially unfortunate given that, uh, we have quite a lot of people staffed on this case. However, uh, there's an unequal distribution of work across modules.", "topic": "overall_experience", "first_order_code": "unequal work distribution despite having many people", "flagging_reason": "Identifies a structural problem with how work is allocated across the team.", "confidence": 0.95}, {"quote_text": "other modules, such as the strategy modules, um, have way less, uh, workload, which means they are leaving, uh, the office, uh-at 10:00 or prior to 10:00, whereas, um, my stream, uh, is leaving the office rather at 2:00 or 3:00 in the morning", "topic": "overall_experience", "first_order_code": "my stream leaves at 2-3am while others leave by 10pm", "flagging_reason": "Reveals significant workload disparity through concrete hours worked.", "confidence": 1.0}, {"quote_text": "which should certainly not happen", "topic": "overall_experience", "first_order_code": "working until 2-3am should not happen", "flagging_reason": "States a clear boundary about what is unacceptable work conditions.", "confidence": 0.9}, {"quote_text": "the other modules could also try to be of more help. So, they definitely do not reach out actively in order to provide help, but rather just leave without offering support.", "topic": "overall_experience", "first_order_code": "other modules leave without offering to help", "flagging_reason": "Describes a team friction where colleagues do not offer support.", "confidence": 0.95}, {"quote_text": "This is also something that could be considered that they just show better character and actively push towards, um, supporting their colleagues. This is not happening right now.", "topic": "overall_experience", "first_order_code": "colleagues not showing character by supporting others", "flagging_reason": "Criticizes colleague behavior using softened language about character.", "confidence": 0.9}, {"quote_text": "these modules, they try to avoid work and try not to help", "topic": "overall_experience", "first_order_code": "some modules try to avoid work", "flagging_reason": "Directly accuses other team members of work avoidance.", "confidence": 1.0}, {"quote_text": "leadership is just placing more trust in these, in the financial steering or PMO modules, which is why they aren't being allocated all the important work", "topic": "overall_experience", "first_order_code": "leadership trusts us more so gives us all the important work", "flagging_reason": "Reframes the workload problem as partly a leadership allocation decision, mixing acknowledgment of trust with implicit critique.", "confidence": 0.85}, {"quote_text": "in case that you're working until 3:00 a.m. or 4:00 a.m. more or less every single day, i- in case you're working on the weekends, with a lack of sleep and, um, constant time pressure as well as general pressure because you need to achieve quite a lot of deliverables, this is not sustainable at all", "topic": "workload_sustainability", "first_order_code": "working until 3-4am every day with no sleep is not sustainable", "flagging_reason": "Describes extreme working hours and their unsustainable nature in concrete terms.", "confidence": 1.0}, {"quote_text": "we are setting ourselves quite a lot of deadlines that are not, um, always necessary. So, we could try to avoid, um, providing extra stress on us by not committing to every single deadline and not committing to additional de- uh, to additional deliverables that were initially not expected or at least not promised", "topic": "workload_sustainability", "first_order_code": "we commit to unnecessary deadlines and extra deliverables", "flagging_reason": "Identifies self-imposed pressure by committing to work beyond initial expectations, using collective 'we' to soften individual blame.", "confidence": 0.95}, {"quote_text": "I wouldn't say that there hasn't, has been too much engagement actually last week. So last week, uh, they focused primar-primarily on other modules, I'd say. So I haven't had the feeling that there was so much engagement.", "topic": "leadership_engagement", "first_order_code": "not much leadership engagement last week", "flagging_reason": "Describes limited leadership attention using hedging language and double negatives.", "confidence": 0.85}, {"quote_text": "But this is, again, I believe, based on the fact that they have quite a lot of trust in our modules, which is why they do not need to provide so much guidance and monitor it as closely", "topic": "leadership_engagement", "first_order_code": "leadership trusts us so doesn't monitor us closely", "flagging_reason": "Reframes lack of leadership engagement as trust rather than neglect, potentially deflecting a concern.", "confidence": 0.8}]}</t>
  </si>
  <si>
    <t>But this is, again, I believe, based on the fact that they have quite a lot of trust in our modules, which is why they do not need to provide so much guidance and monitor it as closely</t>
  </si>
  <si>
    <t>Reframes lack of leadership engagement as trust rather than neglect, potentially deflecting a concern.</t>
  </si>
  <si>
    <t>leadership trusts us so doesn't monitor us closely</t>
  </si>
  <si>
    <t>I wouldn't say that there hasn't, has been too much engagement actually last week. So last week, uh, they focused primar-primarily on other modules, I'd say. So I haven't had the feeling that there was so much engagement.</t>
  </si>
  <si>
    <t>Describes limited leadership attention using hedging language and double negatives.</t>
  </si>
  <si>
    <t>not much leadership engagement last week</t>
  </si>
  <si>
    <t>This is also something that could be considered that they just show better character and actively push towards, um, supporting their colleagues. This is not happening right now.</t>
  </si>
  <si>
    <t>Criticizes colleague behavior using softened language about character.</t>
  </si>
  <si>
    <t>colleagues not showing character by supporting others</t>
  </si>
  <si>
    <t>This is especially unfortunate given that, uh, we have quite a lot of people staffed on this case. However, uh, there's an unequal distribution of work across modules.</t>
  </si>
  <si>
    <t>Identifies a structural problem with how work is allocated across the team.</t>
  </si>
  <si>
    <t>unequal work distribution despite having many people</t>
  </si>
  <si>
    <t>leadership is just placing more trust in these, in the financial steering or PMO modules, which is why they aren't being allocated all the important work</t>
  </si>
  <si>
    <t>Reframes the workload problem as partly a leadership allocation decision, mixing acknowledgment of trust with implicit critique.</t>
  </si>
  <si>
    <t>leadership trusts us more so gives us all the important work</t>
  </si>
  <si>
    <t>other modules, such as the strategy modules, um, have way less, uh, workload, which means they are leaving, uh, the office, uh-at 10:00 or prior to 10:00, whereas, um, my stream, uh, is leaving the office rather at 2:00 or 3:00 in the morning</t>
  </si>
  <si>
    <t>Reveals significant workload disparity through concrete hours worked.</t>
  </si>
  <si>
    <t>my stream leaves at 2-3am while others leave by 10pm</t>
  </si>
  <si>
    <t>the other modules could also try to be of more help. So, they definitely do not reach out actively in order to provide help, but rather just leave without offering support.</t>
  </si>
  <si>
    <t>Describes a team friction where colleagues do not offer support.</t>
  </si>
  <si>
    <t>other modules leave without offering to help</t>
  </si>
  <si>
    <t>the workload is definitely too high, so way too much work is allocated on each team member</t>
  </si>
  <si>
    <t>States a clear concern about excessive workload distribution.</t>
  </si>
  <si>
    <t>way too much work allocated per person</t>
  </si>
  <si>
    <t>these modules, they try to avoid work and try not to help</t>
  </si>
  <si>
    <t>Directly accuses other team members of work avoidance.</t>
  </si>
  <si>
    <t>some modules try to avoid work</t>
  </si>
  <si>
    <t>which should certainly not happen</t>
  </si>
  <si>
    <t>States a clear boundary about what is unacceptable work conditions.</t>
  </si>
  <si>
    <t>working until 2-3am should not happen</t>
  </si>
  <si>
    <t>in case that you're working until 3:00 a.m. or 4:00 a.m. more or less every single day, i- in case you're working on the weekends, with a lack of sleep and, um, constant time pressure as well as general pressure because you need to achieve quite a lot of deliverables, this is not sustainable at all</t>
  </si>
  <si>
    <t>Describes extreme working hours and their unsustainable nature in concrete terms.</t>
  </si>
  <si>
    <t>working until 3-4am every day with no sleep is not sustainable</t>
  </si>
  <si>
    <t>we are setting ourselves quite a lot of deadlines that are not, um, always necessary. So, we could try to avoid, um, providing extra stress on us by not committing to every single deadline and not committing to additional de- uh, to additional deliverables that were initially not expected or at least not promised</t>
  </si>
  <si>
    <t>Identifies self-imposed pressure by committing to work beyond initial expectations, using collective 'we' to soften individual blame.</t>
  </si>
  <si>
    <t>we commit to unnecessary deadlines and extra deliverables</t>
  </si>
  <si>
    <t>{"session_id": "3edbf0a0-8a65-4078-a4dd-8a8e5dea6759", "quotes": [{"quote_text": "I think our work was not efficient at all. We overdid slides again and again, so it was really time consuming.", "topic": "overall_experience", "first_order_code": "redoing slides over and over as inefficient", "flagging_reason": "Surfaces work process friction and inefficiency despite positive opening frame.", "confidence": 0.95}, {"quote_text": "I think the client was refining their, um, ambitions, what they wanted, their output over and over again. So, they then told our partner and our bosses, and then it came back to us eventually.", "topic": "overall_experience", "first_order_code": "client changes trickling down late through hierarchy", "flagging_reason": "Identifies a problem source while reattributing away from internal management (client driven, filtered through layers).", "confidence": 0.88}, {"quote_text": "I think the problem was that the feedback always got back to me very late, so I had to work quite late, and I had too much spare time during the week that I could have already used working on the slides and other things.", "topic": "workload_sustainability", "first_order_code": "working late because feedback arrives late in the day", "flagging_reason": "Expresses workload concern tied to delayed feedback timing and resultant late hours.", "confidence": 0.92}, {"quote_text": "The clients meeting, meetings are late, and then it comes back to me even later.", "topic": "workload_sustainability", "first_order_code": "client meeting timing pushing feedback even later", "flagging_reason": "Reiterates structural constraint causing late work without blaming internal actors.", "confidence": 0.85}, {"quote_text": "I was more of a bystander, so I wasn't really actively engaging with leadership.", "topic": "leadership_engagement", "first_order_code": "attending leadership meetings but not actively involved", "flagging_reason": "Discloses limited engagement and peripheral role in leadership interactions.", "confidence": 0.8}, {"quote_text": "I think I would have liked to get an, um, overview of what's coming this week, of what the client might expect, and then I can also try to manage my workload better.", "topic": "leadership_engagement", "first_order_code": "wanting advance overview to manage workload better", "flagging_reason": "Expresses unmet need for proactive communication to improve personal work planning.", "confidence": 0.9}, {"quote_text": "Maybe, as I'm quite new in the team, I would like to get to know the team better. And I feel like it's quite hard because we're a pretty big team to really get involved and engaged with the team.", "topic": "closing", "first_order_code": "difficulty getting involved as new member of large team", "flagging_reason": "Surfaces social integration challenge with hedging ('maybe') and self-attribution to newness.", "confidence": 0.87}]}</t>
  </si>
  <si>
    <t>Maybe, as I'm quite new in the team, I would like to get to know the team better. And I feel like it's quite hard because we're a pretty big team to really get involved and engaged with the team.</t>
  </si>
  <si>
    <t>Surfaces social integration challenge with hedging ('maybe') and self-attribution to newness.</t>
  </si>
  <si>
    <t>difficulty getting involved as new member of large team</t>
  </si>
  <si>
    <t>I think I would have liked to get an, um, overview of what's coming this week, of what the client might expect, and then I can also try to manage my workload better.</t>
  </si>
  <si>
    <t>Expresses unmet need for proactive communication to improve personal work planning.</t>
  </si>
  <si>
    <t>wanting advance overview to manage workload better</t>
  </si>
  <si>
    <t>I was more of a bystander, so I wasn't really actively engaging with leadership.</t>
  </si>
  <si>
    <t>Discloses limited engagement and peripheral role in leadership interactions.</t>
  </si>
  <si>
    <t>attending leadership meetings but not actively involved</t>
  </si>
  <si>
    <t>I think our work was not efficient at all. We overdid slides again and again, so it was really time consuming.</t>
  </si>
  <si>
    <t>Surfaces work process friction and inefficiency despite positive opening frame.</t>
  </si>
  <si>
    <t>redoing slides over and over as inefficient</t>
  </si>
  <si>
    <t>I think the client was refining their, um, ambitions, what they wanted, their output over and over again. So, they then told our partner and our bosses, and then it came back to us eventually.</t>
  </si>
  <si>
    <t>Identifies a problem source while reattributing away from internal management (client driven, filtered through layers).</t>
  </si>
  <si>
    <t>client changes trickling down late through hierarchy</t>
  </si>
  <si>
    <t>I think the problem was that the feedback always got back to me very late, so I had to work quite late, and I had too much spare time during the week that I could have already used working on the slides and other things.</t>
  </si>
  <si>
    <t>Expresses workload concern tied to delayed feedback timing and resultant late hours.</t>
  </si>
  <si>
    <t>working late because feedback arrives late in the day</t>
  </si>
  <si>
    <t>The clients meeting, meetings are late, and then it comes back to me even later.</t>
  </si>
  <si>
    <t>Reiterates structural constraint causing late work without blaming internal actors.</t>
  </si>
  <si>
    <t>client meeting timing pushing feedback even later</t>
  </si>
  <si>
    <t>{"session_id": "457a1089-e908-48c2-8266-bfdd98e255f0", "quotes": [{"quote_text": "I, as a project leader, was based in San Francisco last week and I was not present in the room.", "topic": "overall_experience", "first_order_code": "leading the project remotely from another continent", "flagging_reason": "Describes a structural constraint that required workarounds to manage the team.", "confidence": 0.85}, {"quote_text": "there were quite a lot of last-second tasks from the client that needed to be done, and could have done a little better work, um, anticipating this.", "topic": "overall_experience", "first_order_code": "not anticipating the client's last-minute requests", "flagging_reason": "Surfaces a problem with client task management while directing some responsibility toward self for not anticipating it.", "confidence": 0.9}, {"quote_text": "it was just a super erratic client who had a couple of last-second changes in mind, and one additional task of the CEO meeting, which could have been...", "topic": "overall_experience", "first_order_code": "dealing with an erratic client making last-second changes", "flagging_reason": "Names client behavior as a friction point while using 'just' to soften the criticism.", "confidence": 0.95}, {"quote_text": "last week has been a stretch between the time zone, even managing the local time zone and you see in the US time zone.", "topic": "workload_sustainability", "first_order_code": "stretched by managing across multiple time zones", "flagging_reason": "Describes workload pressure created by geographic and temporal coordination demands.", "confidence": 0.9}]}</t>
  </si>
  <si>
    <t>I, as a project leader, was based in San Francisco last week and I was not present in the room.</t>
  </si>
  <si>
    <t>Describes a structural constraint that required workarounds to manage the team.</t>
  </si>
  <si>
    <t>leading the project remotely from another continent</t>
  </si>
  <si>
    <t>it was just a super erratic client who had a couple of last-second changes in mind, and one additional task of the CEO meeting, which could have been...</t>
  </si>
  <si>
    <t>Names client behavior as a friction point while using 'just' to soften the criticism.</t>
  </si>
  <si>
    <t>dealing with an erratic client making last-second changes</t>
  </si>
  <si>
    <t>there were quite a lot of last-second tasks from the client that needed to be done, and could have done a little better work, um, anticipating this.</t>
  </si>
  <si>
    <t>Surfaces a problem with client task management while directing some responsibility toward self for not anticipating it.</t>
  </si>
  <si>
    <t>not anticipating the client's last-minute requests</t>
  </si>
  <si>
    <t>last week has been a stretch between the time zone, even managing the local time zone and you see in the US time zone.</t>
  </si>
  <si>
    <t>Describes workload pressure created by geographic and temporal coordination demands.</t>
  </si>
  <si>
    <t>stretched by managing across multiple time zones</t>
  </si>
  <si>
    <t>{"session_id": "4736144b-0e54-4fa6-b94d-e8364d7fcdbc", "quotes": [{"quote_text": "what might have gone wrong last week was that we had very late change of tasks and therefore we needed to work longer than typically, I would say. And I think that could have been avoided if we would have iterated more frequently and made the final outcome more clear for everyone.", "topic": "overall_experience", "first_order_code": "working longer due to late task changes", "flagging_reason": "Identifies a problem with timing that led to extended work hours, while softening it with 'might have' and attributing it to iteration frequency.", "confidence": 0.9}, {"quote_text": "we worked out the task, and then we checked in with our MDP, and then they had input, and then we needed to change a lot of what we've already done. So we put a lot of work into the document and then iterated it with our senior leaders.", "topic": "overall_experience", "first_order_code": "redoing a lot of work after senior leader feedback", "flagging_reason": "Describes friction in the workflow where substantial completed work had to be changed, though framed as a learning opportunity.", "confidence": 0.85}, {"quote_text": "there were some late nights or longer days that probably could have been avoided or shortened", "topic": "workload_sustainability", "first_order_code": "late nights that could have been avoided", "flagging_reason": "Acknowledges a workload issue while minimizing it with 'some' and 'probably,' embedded in an otherwise positive assessment.", "confidence": 0.85}]}</t>
  </si>
  <si>
    <t>we worked out the task, and then we checked in with our MDP, and then they had input, and then we needed to change a lot of what we've already done. So we put a lot of work into the document and then iterated it with our senior leaders.</t>
  </si>
  <si>
    <t>Describes friction in the workflow where substantial completed work had to be changed, though framed as a learning opportunity.</t>
  </si>
  <si>
    <t>redoing a lot of work after senior leader feedback</t>
  </si>
  <si>
    <t>what might have gone wrong last week was that we had very late change of tasks and therefore we needed to work longer than typically, I would say. And I think that could have been avoided if we would have iterated more frequently and made the final outcome more clear for everyone.</t>
  </si>
  <si>
    <t>Identifies a problem with timing that led to extended work hours, while softening it with 'might have' and attributing it to iteration frequency.</t>
  </si>
  <si>
    <t>working longer due to late task changes</t>
  </si>
  <si>
    <t>there were some late nights or longer days that probably could have been avoided or shortened</t>
  </si>
  <si>
    <t>Acknowledges a workload issue while minimizing it with 'some' and 'probably,' embedded in an otherwise positive assessment.</t>
  </si>
  <si>
    <t>late nights that could have been avoided</t>
  </si>
  <si>
    <t>{"session_id": "4a3523c6-1faa-4bd5-8f48-1d8671c427a9", "quotes": [{"quote_text": "last week, Monday, I worked until midnight because I was basically doing proposal work, which I don't think I should have done because they just... Instead of doing AI scope things, I was doing the whole proposal.", "topic": "workload_sustainability", "first_order_code": "working until midnight on proposal tasks outside my scope", "flagging_reason": "Describes a specific work problem—being assigned tasks beyond role boundaries that led to unsustainable hours.", "confidence": 0.95}, {"quote_text": "So that was not enjoyable, and I think not the working out we're aiming for, but the rest of it was fine.", "topic": "workload_sustainability", "first_order_code": "softening scope creep complaint by saying the rest was fine", "flagging_reason": "Participant minimizes a stated concern by immediately adding that everything else was acceptable.", "confidence": 0.85}, {"quote_text": "we still have had several instances last week and this week as well, where we're apparently pushing beyond our boundaries, meaning that we support the, our clients, the BCG teams, by doing this basic slide work and basic proposal stuff beyond our AI scope.", "topic": "client_value", "first_order_code": "repeatedly doing basic work outside AI scope for BCG teams", "flagging_reason": "Participant identifies a recurring friction between intended role and actual tasks assigned.", "confidence": 0.95}, {"quote_text": "So we basically put a lot of work on our plates just to be in one-way free capacity, for the other teams. And I don't think that's, that, that's right.", "topic": "client_value", "first_order_code": "taking on extra work just to be available, which doesn't feel right", "flagging_reason": "Participant expresses discomfort with a work practice that overloads the team.", "confidence": 0.9}, {"quote_text": "So we discussed that. It's not bad within our team, but... So I think we do, we do more of that than I personally like.", "topic": "client_value", "first_order_code": "hedging by saying it's not bad even though I personally dislike it", "flagging_reason": "Participant softens criticism by claiming the issue isn't severe within the team, despite personal dissatisfaction.", "confidence": 0.9}, {"quote_text": "sometimes we put a lot of pressure on individuals in our team because we just don't have the capacity to take on that work.", "topic": "client_value", "first_order_code": "putting pressure on individuals when we lack capacity for extra work", "flagging_reason": "Describes a work concern about unfair distribution of workload under resource constraints.", "confidence": 0.9}, {"quote_text": "I think that the underlying reason is that many people in the industry request us because they know we, we will do these things, or they just try their luck. And so it's a bit of opportunistic behavior, really.", "topic": "client_value", "first_order_code": "reframing scope creep as opportunistic client behavior, not internal issue", "flagging_reason": "Participant attributes the problem to external clients rather than internal management or boundaries.", "confidence": 0.85}, {"quote_text": "Maybe with a bit more pushback on, I would call it, odd requests.", "topic": "leadership_engagement", "first_order_code": "wanting leadership to push back more on odd requests", "flagging_reason": "Participant suggests an improvement to leadership behavior, implying current pushback is insufficient.", "confidence": 0.85}]}</t>
  </si>
  <si>
    <t>I think that the underlying reason is that many people in the industry request us because they know we, we will do these things, or they just try their luck. And so it's a bit of opportunistic behavior, really.</t>
  </si>
  <si>
    <t>Participant attributes the problem to external clients rather than internal management or boundaries.</t>
  </si>
  <si>
    <t>reframing scope creep as opportunistic client behavior, not internal issue</t>
  </si>
  <si>
    <t>So we basically put a lot of work on our plates just to be in one-way free capacity, for the other teams. And I don't think that's, that, that's right.</t>
  </si>
  <si>
    <t>Participant expresses discomfort with a work practice that overloads the team.</t>
  </si>
  <si>
    <t>taking on extra work just to be available, which doesn't feel right</t>
  </si>
  <si>
    <t>So we discussed that. It's not bad within our team, but... So I think we do, we do more of that than I personally like.</t>
  </si>
  <si>
    <t>Participant softens criticism by claiming the issue isn't severe within the team, despite personal dissatisfaction.</t>
  </si>
  <si>
    <t>hedging by saying it's not bad even though I personally dislike it</t>
  </si>
  <si>
    <t>sometimes we put a lot of pressure on individuals in our team because we just don't have the capacity to take on that work.</t>
  </si>
  <si>
    <t>Describes a work concern about unfair distribution of workload under resource constraints.</t>
  </si>
  <si>
    <t>putting pressure on individuals when we lack capacity for extra work</t>
  </si>
  <si>
    <t>we still have had several instances last week and this week as well, where we're apparently pushing beyond our boundaries, meaning that we support the, our clients, the BCG teams, by doing this basic slide work and basic proposal stuff beyond our AI scope.</t>
  </si>
  <si>
    <t>Participant identifies a recurring friction between intended role and actual tasks assigned.</t>
  </si>
  <si>
    <t>repeatedly doing basic work outside AI scope for BCG teams</t>
  </si>
  <si>
    <t>Maybe with a bit more pushback on, I would call it, odd requests.</t>
  </si>
  <si>
    <t>Participant suggests an improvement to leadership behavior, implying current pushback is insufficient.</t>
  </si>
  <si>
    <t>wanting leadership to push back more on odd requests</t>
  </si>
  <si>
    <t>So that was not enjoyable, and I think not the working out we're aiming for, but the rest of it was fine.</t>
  </si>
  <si>
    <t>Participant minimizes a stated concern by immediately adding that everything else was acceptable.</t>
  </si>
  <si>
    <t>softening scope creep complaint by saying the rest was fine</t>
  </si>
  <si>
    <t>last week, Monday, I worked until midnight because I was basically doing proposal work, which I don't think I should have done because they just... Instead of doing AI scope things, I was doing the whole proposal.</t>
  </si>
  <si>
    <t>Describes a specific work problem—being assigned tasks beyond role boundaries that led to unsustainable hours.</t>
  </si>
  <si>
    <t>working until midnight on proposal tasks outside my scope</t>
  </si>
  <si>
    <t>{"session_id": "4bfa49c3-475b-4f2c-b961-6ad9d116b72b", "quotes": [{"quote_text": "Because I didn't have many touch points last week with the client, I can't speak for last week.", "topic": "client_value", "first_order_code": "couldn't assess client value due to limited client contact", "flagging_reason": "Reveals a limitation in the participant's ability to evaluate their work due to restricted client interaction that week.", "confidence": 0.75}]}</t>
  </si>
  <si>
    <t>Because I didn't have many touch points last week with the client, I can't speak for last week.</t>
  </si>
  <si>
    <t>Reveals a limitation in the participant's ability to evaluate their work due to restricted client interaction that week.</t>
  </si>
  <si>
    <t>couldn't assess client value due to limited client contact</t>
  </si>
  <si>
    <t>{"session_id": "51fe698b-e6c7-4cb7-ba66-b6fde8381f77", "quotes": [{"quote_text": "I wasn't on the ground and I had some other commitments, so I can't really comment.", "topic": "overall_experience", "first_order_code": "being absent so unable to assess the week", "flagging_reason": "Participant hedges their own ability to evaluate the week by noting their absence, potentially withholding a full assessment.", "confidence": 0.75}, {"quote_text": "Well, my last week was an exception. It was not what the team went through.", "topic": "workload_sustainability", "first_order_code": "having a different workload experience than the team", "flagging_reason": "Participant distinguishes their own workload from the team's, suggesting possible friction or concern about team sustainability that they did not personally experience.", "confidence": 0.8}, {"quote_text": "Last week, we didn't see a lot of leadership because they were all at the worldwide officer meeting.", "topic": "leadership_engagement", "first_order_code": "not seeing leadership due to their external commitments", "flagging_reason": "Participant notes limited leadership visibility and reattributes it to legitimate organizational reasons rather than engagement issues.", "confidence": 0.7}]}</t>
  </si>
  <si>
    <t>Last week, we didn't see a lot of leadership because they were all at the worldwide officer meeting.</t>
  </si>
  <si>
    <t>Participant notes limited leadership visibility and reattributes it to legitimate organizational reasons rather than engagement issues.</t>
  </si>
  <si>
    <t>not seeing leadership due to their external commitments</t>
  </si>
  <si>
    <t>I wasn't on the ground and I had some other commitments, so I can't really comment.</t>
  </si>
  <si>
    <t>Participant hedges their own ability to evaluate the week by noting their absence, potentially withholding a full assessment.</t>
  </si>
  <si>
    <t>being absent so unable to assess the week</t>
  </si>
  <si>
    <t>Well, my last week was an exception. It was not what the team went through.</t>
  </si>
  <si>
    <t>Participant distinguishes their own workload from the team's, suggesting possible friction or concern about team sustainability that they did not personally experience.</t>
  </si>
  <si>
    <t>having a different workload experience than the team</t>
  </si>
  <si>
    <t>{"session_id": "530df9a9-7110-4a25-9872-0c1d242b65a0", "quotes": [{"quote_text": "Normally, um, when I go for lunch, I, I also use it as a moment to disconnect a bit, maybe walk to pick up your food. And since we do the lunch and learns, we stay in the building and in a room, um, so I could then use a short break in the afternoon to still stretch the legs.", "topic": "overall_experience", "first_order_code": "losing lunch as a disconnection moment due to scheduled sessions", "flagging_reason": "Describes a mild friction where a team practice (lunch and learns) removes a valued break, though quickly softened by noting they found a workaround.", "confidence": 0.85}, {"quote_text": "Um, I do think we picked that up already later in the week, uh, when we did a matcha walk with, with part of the team.", "topic": "overall_experience", "first_order_code": "problem already resolved by team-initiated adjustment", "flagging_reason": "Immediately reframes the concern as already addressed, minimizing its ongoing relevance.", "confidence": 0.75}]}</t>
  </si>
  <si>
    <t>Normally, um, when I go for lunch, I, I also use it as a moment to disconnect a bit, maybe walk to pick up your food. And since we do the lunch and learns, we stay in the building and in a room, um, so I could then use a short break in the afternoon to still stretch the legs.</t>
  </si>
  <si>
    <t>Describes a mild friction where a team practice (lunch and learns) removes a valued break, though quickly softened by noting they found a workaround.</t>
  </si>
  <si>
    <t>losing lunch as a disconnection moment due to scheduled sessions</t>
  </si>
  <si>
    <t>Um, I do think we picked that up already later in the week, uh, when we did a matcha walk with, with part of the team.</t>
  </si>
  <si>
    <t>Immediately reframes the concern as already addressed, minimizing its ongoing relevance.</t>
  </si>
  <si>
    <t>problem already resolved by team-initiated adjustment</t>
  </si>
  <si>
    <t>Calling out known but unaddressed issues</t>
  </si>
  <si>
    <t>{"session_id": "5a0b74ee-ab57-417c-a7cc-4ca8dc88baa6", "quotes": [{"quote_text": "Um, I think it was sustainable because, uh, we tried to finish before 11:00, um, Monday to Wednesday, and I think we were able to do it for most of the time.", "topic": "workload_sustainability", "first_order_code": "trying to finish before 11pm most of the time", "flagging_reason": "Reveals regular late-night work hours softened by framing as a target they mostly achieved.", "confidence": 0.85}]}</t>
  </si>
  <si>
    <t>Um, I think it was sustainable because, uh, we tried to finish before 11:00, um, Monday to Wednesday, and I think we were able to do it for most of the time.</t>
  </si>
  <si>
    <t>Reveals regular late-night work hours softened by framing as a target they mostly achieved.</t>
  </si>
  <si>
    <t>trying to finish before 11pm most of the time</t>
  </si>
  <si>
    <t>{"session_id": "5cc5177c-6cf4-44cb-83fc-42a627226813", "quotes": [{"quote_text": "we did not really participate for all the events, um, but just, like, a few, um, compared to the other teams, um, definitely less than the others.", "topic": "overall_experience", "first_order_code": "participating less in team events than other teams", "flagging_reason": "Shows a work concern about team participation being limited compared to others, softened with hedging language.", "confidence": 0.75}, {"quote_text": "still it was, like, a stressful week, I would say, um, with, um, yeah, long working hours.", "topic": "overall_experience", "first_order_code": "describing the week as stressful with long hours", "flagging_reason": "Expresses a work concern about stress and hours, qualified with hedging ('like', 'I would say').", "confidence": 0.85}, {"quote_text": "I think it's still the deadlines that we have, um, that we need to send out stuff, like, until Friday, if possible, end of day. Um, so it has to be done before that. And, yeah, so I think it's a recurring theme.", "topic": "overall_experience", "first_order_code": "recurring Friday deadlines creating pressure", "flagging_reason": "Identifies a recurring problem with deadlines that drives workload, noted explicitly as ongoing.", "confidence": 0.9}, {"quote_text": "Um, I don't sleep that much. Um, I often work, like, really long hours.", "topic": "workload_sustainability", "first_order_code": "not sleeping much and working really long hours", "flagging_reason": "Directly discloses a personal impact of workload on sleep and hours worked.", "confidence": 0.95}, {"quote_text": "It's never, like, 100% sure if, like, the weekend will be free or if we can take the holiday off if there is a public holiday. I think those are recurring themes.", "topic": "workload_sustainability", "first_order_code": "never sure if weekends or holidays will actually be free", "flagging_reason": "Reveals ongoing uncertainty about time off, framed as a recurring problem with hedging language.", "confidence": 0.9}, {"quote_text": "I think it needs to be done. Uh, so in the end, there's not that much you can do about the working hours.", "topic": "client_value", "first_order_code": "accepting long hours as unavoidable given the work", "flagging_reason": "Shows resignation about workload concern, reframing it as something that cannot be changed.", "confidence": 0.8}, {"quote_text": "I think last week, not really that much, but, um, this week, they raised some points on how to improve it or that it should be improved. But, um, yeah, I'm not sure if that will be enough.", "topic": "leadership_engagement", "first_order_code": "doubting whether leadership improvements will be enough", "flagging_reason": "Expresses skepticism about leadership response to workload concerns, hedged with uncertainty language.", "confidence": 0.85}, {"quote_text": "on the other hand, I will not sure if, like, the improvements reach the, um, important people.", "topic": "leadership_engagement", "first_order_code": "unsure if improvements reach the people who matter", "flagging_reason": "Voices concern that leadership actions may not reach the right level, using indirect language.", "confidence": 0.8}, {"quote_text": "I think, um, the finance team is most affected by the working hours, and already today was said that, for example, leading from the old RO to the new RO, answering questions on the restructuring opinion, et cetera, um, it's all stuff that needs to be done by the finance team. So, in the end, it's probably us that have to still work longer or, I don't know, on the holiday, I think.", "topic": "leadership_engagement", "first_order_code": "expecting finance team will still work long hours including holidays", "flagging_reason": "Predicts the workload problem will continue specifically for their team despite leadership discussion, with resigned hedging.", "confidence": 0.9}, {"quote_text": "I did not agree, like, with the, um, objective description today that, um, or, uh, with the subjective description, sorry, about leadership, um, that everyone is working, like, really long hours and then it's hard to shift, like, a couple of hours from one team to another.", "topic": "leadership_engagement", "first_order_code": "disagreeing with leadership's characterization of workload distribution", "flagging_reason": "Explicitly challenges leadership's framing of the problem, showing friction with management perspective.", "confidence": 0.95}, {"quote_text": "I think the teaming survey clearly indicates that there's a lot of people, um, finishing Tuesday before 8:00, uh, PM, which is, like, not possible here. Like, I think we are happy if we are done before 10:00 or 12:00.", "topic": "leadership_engagement", "first_order_code": "other teams finish by 8pm while we're happy to finish by 10 or midnight", "flagging_reason": "Uses concrete comparison to highlight workload inequality between teams, revealing significant disparity.", "confidence": 0.95}, {"quote_text": "I feel like for weeks, we've been hearing that there will be change, and then there are, they have done a lot of things, so the working hours get better. But let's just face it, they are not.", "topic": "closing", "first_order_code": "hearing promises of change for weeks but hours haven't improved", "flagging_reason": "Directly contradicts positive leadership messaging with lived experience, expressing frustration about unfulfilled promises.", "confidence": 0.95}]}</t>
  </si>
  <si>
    <t>I think it needs to be done. Uh, so in the end, there's not that much you can do about the working hours.</t>
  </si>
  <si>
    <t>Shows resignation about workload concern, reframing it as something that cannot be changed.</t>
  </si>
  <si>
    <t>accepting long hours as unavoidable given the work</t>
  </si>
  <si>
    <t>I feel like for weeks, we've been hearing that there will be change, and then there are, they have done a lot of things, so the working hours get better. But let's just face it, they are not.</t>
  </si>
  <si>
    <t>Directly contradicts positive leadership messaging with lived experience, expressing frustration about unfulfilled promises.</t>
  </si>
  <si>
    <t>hearing promises of change for weeks but hours haven't improved</t>
  </si>
  <si>
    <t>I did not agree, like, with the, um, objective description today that, um, or, uh, with the subjective description, sorry, about leadership, um, that everyone is working, like, really long hours and then it's hard to shift, like, a couple of hours from one team to another.</t>
  </si>
  <si>
    <t>Explicitly challenges leadership's framing of the problem, showing friction with management perspective.</t>
  </si>
  <si>
    <t>disagreeing with leadership's characterization of workload distribution</t>
  </si>
  <si>
    <t>I think last week, not really that much, but, um, this week, they raised some points on how to improve it or that it should be improved. But, um, yeah, I'm not sure if that will be enough.</t>
  </si>
  <si>
    <t>Expresses skepticism about leadership response to workload concerns, hedged with uncertainty language.</t>
  </si>
  <si>
    <t>doubting whether leadership improvements will be enough</t>
  </si>
  <si>
    <t>I think the teaming survey clearly indicates that there's a lot of people, um, finishing Tuesday before 8:00, uh, PM, which is, like, not possible here. Like, I think we are happy if we are done before 10:00 or 12:00.</t>
  </si>
  <si>
    <t>Uses concrete comparison to highlight workload inequality between teams, revealing significant disparity.</t>
  </si>
  <si>
    <t>other teams finish by 8pm while we're happy to finish by 10 or midnight</t>
  </si>
  <si>
    <t>I think, um, the finance team is most affected by the working hours, and already today was said that, for example, leading from the old RO to the new RO, answering questions on the restructuring opinion, et cetera, um, it's all stuff that needs to be done by the finance team. So, in the end, it's probably us that have to still work longer or, I don't know, on the holiday, I think.</t>
  </si>
  <si>
    <t>Predicts the workload problem will continue specifically for their team despite leadership discussion, with resigned hedging.</t>
  </si>
  <si>
    <t>expecting finance team will still work long hours including holidays</t>
  </si>
  <si>
    <t>on the other hand, I will not sure if, like, the improvements reach the, um, important people.</t>
  </si>
  <si>
    <t>Voices concern that leadership actions may not reach the right level, using indirect language.</t>
  </si>
  <si>
    <t>unsure if improvements reach the people who matter</t>
  </si>
  <si>
    <t>Anticipating dismissal or misrecognition</t>
  </si>
  <si>
    <t>I think it's still the deadlines that we have, um, that we need to send out stuff, like, until Friday, if possible, end of day. Um, so it has to be done before that. And, yeah, so I think it's a recurring theme.</t>
  </si>
  <si>
    <t>Identifies a recurring problem with deadlines that drives workload, noted explicitly as ongoing.</t>
  </si>
  <si>
    <t>recurring Friday deadlines creating pressure</t>
  </si>
  <si>
    <t>still it was, like, a stressful week, I would say, um, with, um, yeah, long working hours.</t>
  </si>
  <si>
    <t>Expresses a work concern about stress and hours, qualified with hedging ('like', 'I would say').</t>
  </si>
  <si>
    <t>describing the week as stressful with long hours</t>
  </si>
  <si>
    <t>we did not really participate for all the events, um, but just, like, a few, um, compared to the other teams, um, definitely less than the others.</t>
  </si>
  <si>
    <t>Shows a work concern about team participation being limited compared to others, softened with hedging language.</t>
  </si>
  <si>
    <t>participating less in team events than other teams</t>
  </si>
  <si>
    <t>It's never, like, 100% sure if, like, the weekend will be free or if we can take the holiday off if there is a public holiday. I think those are recurring themes.</t>
  </si>
  <si>
    <t>Reveals ongoing uncertainty about time off, framed as a recurring problem with hedging language.</t>
  </si>
  <si>
    <t>never sure if weekends or holidays will actually be free</t>
  </si>
  <si>
    <t>Um, I don't sleep that much. Um, I often work, like, really long hours.</t>
  </si>
  <si>
    <t>Directly discloses a personal impact of workload on sleep and hours worked.</t>
  </si>
  <si>
    <t>not sleeping much and working really long hours</t>
  </si>
  <si>
    <t>{"session_id": "5f505770-b642-4eef-b542-6fcb16768d1a", "quotes": [{"quote_text": "But of course, we have to try for the, uh, balance out the CO₂ as well.", "topic": "overall_experience", "first_order_code": "needing to offset CO₂ from co-location travel", "flagging_reason": "Surfaces a constraint or friction associated with an otherwise positive practice (co-location).", "confidence": 0.75}, {"quote_text": "I think we're doing a really good job in trying to allocate tasks, um, across our resources to make sure no one is drowning, but, um, we do get all our requests done.", "topic": "overall_experience", "first_order_code": "actively preventing people from drowning in work", "flagging_reason": "Reveals that workload overwhelm is a concern being actively managed against, implying it's a known risk.", "confidence": 0.85}]}</t>
  </si>
  <si>
    <t>But of course, we have to try for the, uh, balance out the CO₂ as well.</t>
  </si>
  <si>
    <t>Surfaces a constraint or friction associated with an otherwise positive practice (co-location).</t>
  </si>
  <si>
    <t>needing to offset CO₂ from co-location travel</t>
  </si>
  <si>
    <t>I think we're doing a really good job in trying to allocate tasks, um, across our resources to make sure no one is drowning, but, um, we do get all our requests done.</t>
  </si>
  <si>
    <t>Reveals that workload overwhelm is a concern being actively managed against, implying it's a known risk.</t>
  </si>
  <si>
    <t>actively preventing people from drowning in work</t>
  </si>
  <si>
    <t>{"session_id": "63b3341f-7fa1-473e-bcfe-81595352d156", "quotes": [{"quote_text": "I'm not sure whether we're really wasting our time on things.", "topic": "client_value", "first_order_code": "unsure if time is being wasted on some tasks", "flagging_reason": "Expresses uncertainty about whether work time is being used efficiently, hedged with softening language.", "confidence": 0.75}, {"quote_text": "Sometimes, um, client isn't... Like, we have to push the client quite well, um, of go- going forward.", "topic": "client_value", "first_order_code": "having to push the client to move forward", "flagging_reason": "Identifies a friction point requiring team effort to overcome client inertia, introduced with hesitation and a restart.", "confidence": 0.85}, {"quote_text": "I think we could also do much more for the client if they were able to bring in some more topics to us.", "topic": "client_value", "first_order_code": "could deliver more value if client brought more topics", "flagging_reason": "Points to a limitation in the engagement framed diplomatically as conditional on client capacity.", "confidence": 0.8}]}</t>
  </si>
  <si>
    <t>I think we could also do much more for the client if they were able to bring in some more topics to us.</t>
  </si>
  <si>
    <t>Points to a limitation in the engagement framed diplomatically as conditional on client capacity.</t>
  </si>
  <si>
    <t>could deliver more value if client brought more topics</t>
  </si>
  <si>
    <t>I'm not sure whether we're really wasting our time on things.</t>
  </si>
  <si>
    <t>Expresses uncertainty about whether work time is being used efficiently, hedged with softening language.</t>
  </si>
  <si>
    <t>unsure if time is being wasted on some tasks</t>
  </si>
  <si>
    <t>Sometimes, um, client isn't... Like, we have to push the client quite well, um, of go- going forward.</t>
  </si>
  <si>
    <t>Identifies a friction point requiring team effort to overcome client inertia, introduced with hesitation and a restart.</t>
  </si>
  <si>
    <t>having to push the client to move forward</t>
  </si>
  <si>
    <t>{"session_id": "647485c9-91a5-4f28-9056-d4503ddeb5ed", "quotes": [{"quote_text": "maybe what did not work so well is that, um, as before, we've been working past midnight, uh, Monday to Wednesday, um, every day, um, to get it done.", "topic": "overall_experience", "first_order_code": "working past midnight three nights in a row", "flagging_reason": "Participant softens a significant workload concern with 'maybe' and 'not so well' before describing consecutive very late nights.", "confidence": 0.95}, {"quote_text": "But yeah, overall, I think the outcome is okay.", "topic": "overall_experience", "first_order_code": "downplaying concern by emphasizing acceptable outcome", "flagging_reason": "Participant uses 'but yeah' to pivot away from the midnight work problem and minimize with 'okay' after describing a serious issue.", "confidence": 0.85}, {"quote_text": "I think most of the team wanted to take it as a holiday and not to, yeah, maybe take the holiday another time.", "topic": "overall_experience", "first_order_code": "team wanted the holiday off despite deadline pressure", "flagging_reason": "Reveals implicit tension between team preference for time off and workload demands requiring compensation work.", "confidence": 0.75}, {"quote_text": "I think there have been wor-, um, worse weeks. Um, I think it's still not great, um, but it was already worse.", "topic": "workload_sustainability", "first_order_code": "relativizing current unsustainability against even worse weeks", "flagging_reason": "Participant minimizes the problem by comparing to worse periods while still acknowledging it's 'not great.'", "confidence": 0.9}, {"quote_text": "maybe what could have been improved in some ways is just, like, um, which teams provide input where, but not within our team, just other teams.", "topic": "client_value", "first_order_code": "attributing coordination problems to other teams not our own", "flagging_reason": "Participant hedges with 'maybe' and 'in some ways' then explicitly deflects the issue away from their own team.", "confidence": 0.85}, {"quote_text": "I would have wished that we would have talked more about going forward. Is there actually a way how we can improve it, or are there other teams that could contribute to the restructuring opinion or to what chapters specifically, so we don't have to do, um, all the work?", "topic": "leadership_engagement", "first_order_code": "wishing leadership had discussed redistributing workload going forward", "flagging_reason": "Reveals unmet expectation that leadership would address ongoing work distribution problem rather than just acknowledging past stress.", "confidence": 0.95}, {"quote_text": "I think the past week, we were still simply accepting that it's gonna be a tough week or tough weeks ahead. And yeah, not that much was done to be, uh, to shift that away.", "topic": "leadership_engagement", "first_order_code": "team just accepting tough weeks ahead without action to change it", "flagging_reason": "Expresses concern that leadership engagement did not result in concrete steps to prevent future unsustainable periods.", "confidence": 0.9}, {"quote_text": "I think, um, on one hand, the, all the holidays, um, made up some air to breathe at some moments, but on, in other moments, it was just painful because you had to work before that, and, yeah.", "topic": "closing", "first_order_code": "holidays both relief and painful because of required pre-work", "flagging_reason": "Reveals ambivalence about time off when it requires intensified work before and after, using 'painful' to describe the experience.", "confidence": 0.85}]}</t>
  </si>
  <si>
    <t>maybe what could have been improved in some ways is just, like, um, which teams provide input where, but not within our team, just other teams.</t>
  </si>
  <si>
    <t>Participant hedges with 'maybe' and 'in some ways' then explicitly deflects the issue away from their own team.</t>
  </si>
  <si>
    <t>attributing coordination problems to other teams not our own</t>
  </si>
  <si>
    <t>I think, um, on one hand, the, all the holidays, um, made up some air to breathe at some moments, but on, in other moments, it was just painful because you had to work before that, and, yeah.</t>
  </si>
  <si>
    <t>Reveals ambivalence about time off when it requires intensified work before and after, using 'painful' to describe the experience.</t>
  </si>
  <si>
    <t>holidays both relief and painful because of required pre-work</t>
  </si>
  <si>
    <t>I think the past week, we were still simply accepting that it's gonna be a tough week or tough weeks ahead. And yeah, not that much was done to be, uh, to shift that away.</t>
  </si>
  <si>
    <t>Expresses concern that leadership engagement did not result in concrete steps to prevent future unsustainable periods.</t>
  </si>
  <si>
    <t>team just accepting tough weeks ahead without action to change it</t>
  </si>
  <si>
    <t>Silence within expression</t>
  </si>
  <si>
    <t>I would have wished that we would have talked more about going forward. Is there actually a way how we can improve it, or are there other teams that could contribute to the restructuring opinion or to what chapters specifically, so we don't have to do, um, all the work?</t>
  </si>
  <si>
    <t>Reveals unmet expectation that leadership would address ongoing work distribution problem rather than just acknowledging past stress.</t>
  </si>
  <si>
    <t>wishing leadership had discussed redistributing workload going forward</t>
  </si>
  <si>
    <t>But yeah, overall, I think the outcome is okay.</t>
  </si>
  <si>
    <t>Participant uses 'but yeah' to pivot away from the midnight work problem and minimize with 'okay' after describing a serious issue.</t>
  </si>
  <si>
    <t>downplaying concern by emphasizing acceptable outcome</t>
  </si>
  <si>
    <t>I think most of the team wanted to take it as a holiday and not to, yeah, maybe take the holiday another time.</t>
  </si>
  <si>
    <t>Reveals implicit tension between team preference for time off and workload demands requiring compensation work.</t>
  </si>
  <si>
    <t>team wanted the holiday off despite deadline pressure</t>
  </si>
  <si>
    <t>maybe what did not work so well is that, um, as before, we've been working past midnight, uh, Monday to Wednesday, um, every day, um, to get it done.</t>
  </si>
  <si>
    <t>Participant softens a significant workload concern with 'maybe' and 'not so well' before describing consecutive very late nights.</t>
  </si>
  <si>
    <t>working past midnight three nights in a row</t>
  </si>
  <si>
    <t>I think there have been wor-, um, worse weeks. Um, I think it's still not great, um, but it was already worse.</t>
  </si>
  <si>
    <t>Participant minimizes the problem by comparing to worse periods while still acknowledging it's 'not great.'</t>
  </si>
  <si>
    <t>relativizing current unsustainability against even worse weeks</t>
  </si>
  <si>
    <t>{"session_id": "65bededb-bf03-4d06-9643-66f49c07a099", "quotes": [{"quote_text": "I mean, the working hours in the beginning of the week were really bad again.", "topic": "overall_experience", "first_order_code": "working hours being really bad again", "flagging_reason": "States a recurring work problem using evaluative language ('really bad again') that signals this is an ongoing issue.", "confidence": 0.95}, {"quote_text": "there was, like, a very tight or, like, very critical deadline to achieve. So there was not really any room to prolong the timeline.", "topic": "overall_experience", "first_order_code": "no room to adjust an extremely tight deadline", "flagging_reason": "Describes a constraint and time pressure that creates difficulty, with hedging language ('like, very').", "confidence": 0.85}, {"quote_text": "Workload has not been sustainable at all. I mean, already this week, for example, like last night, we worked until 4:00 a.m. in the morning.", "topic": "workload_sustainability", "first_order_code": "working until 4 a.m. because workload is unsustainable", "flagging_reason": "Directly states a serious workload problem with a concrete example of extreme hours.", "confidence": 1.0}, {"quote_text": "I feel like there's a lot of awareness on the late working hours, especially among the finance team. And also, I think, like, what has improved is that the leadership says thank you much more often. But still, I wanna see real improvements.", "topic": "workload_sustainability", "first_order_code": "wanting real improvements beyond just thank-yous", "flagging_reason": "Acknowledges a positive gesture but immediately qualifies it as insufficient, revealing dissatisfaction with leadership response.", "confidence": 0.95}, {"quote_text": "I know that this is just... that we are currently experience a peak in working hours due to the critical timeline, but I want... I would like to see them making proposals on how this time can be compensated in the next week.", "topic": "workload_sustainability", "first_order_code": "wanting concrete proposals for compensating extreme hours", "flagging_reason": "Self-softens the problem by calling it a 'peak' but then pushes back with a specific expectation of leadership.", "confidence": 0.9}, {"quote_text": "So I wanna see something really tangible here and not just we are working on something and, and, and so on.", "topic": "workload_sustainability", "first_order_code": "needing tangible action not vague reassurances", "flagging_reason": "Expresses frustration with leadership's lack of concrete follow-through using critical paraphrasing of their responses.", "confidence": 0.95}, {"quote_text": "And also, I would like, I mean, like... No, okay, don't, don't, uh, don't mind. That's it. I, I think I have to finish the interview.", "topic": "workload_sustainability", "first_order_code": "stopping mid-thought and cutting the interview short", "flagging_reason": "Participant begins to disclose something further but abruptly self-censors and terminates the conversation early.", "confidence": 0.9}, {"quote_text": "they have to comply with short notice requests by us. So, for example, if the finance team, they had to provide further insights into some numbers so we could finalize the business plan.", "topic": "client_value", "first_order_code": "making short-notice requests the client has to comply with", "flagging_reason": "Acknowledges the team is imposing demands on the client with little notice, framing it as a burden they create.", "confidence": 0.8}]}</t>
  </si>
  <si>
    <t>they have to comply with short notice requests by us. So, for example, if the finance team, they had to provide further insights into some numbers so we could finalize the business plan.</t>
  </si>
  <si>
    <t>Acknowledges the team is imposing demands on the client with little notice, framing it as a burden they create.</t>
  </si>
  <si>
    <t>making short-notice requests the client has to comply with</t>
  </si>
  <si>
    <t>I mean, the working hours in the beginning of the week were really bad again.</t>
  </si>
  <si>
    <t>States a recurring work problem using evaluative language ('really bad again') that signals this is an ongoing issue.</t>
  </si>
  <si>
    <t>working hours being really bad again</t>
  </si>
  <si>
    <t>there was, like, a very tight or, like, very critical deadline to achieve. So there was not really any room to prolong the timeline.</t>
  </si>
  <si>
    <t>Describes a constraint and time pressure that creates difficulty, with hedging language ('like, very').</t>
  </si>
  <si>
    <t>no room to adjust an extremely tight deadline</t>
  </si>
  <si>
    <t>And also, I would like, I mean, like... No, okay, don't, don't, uh, don't mind. That's it. I, I think I have to finish the interview.</t>
  </si>
  <si>
    <t>Participant begins to disclose something further but abruptly self-censors and terminates the conversation early.</t>
  </si>
  <si>
    <t>stopping mid-thought and cutting the interview short</t>
  </si>
  <si>
    <t>I feel like there's a lot of awareness on the late working hours, especially among the finance team. And also, I think, like, what has improved is that the leadership says thank you much more often. But still, I wanna see real improvements.</t>
  </si>
  <si>
    <t>Acknowledges a positive gesture but immediately qualifies it as insufficient, revealing dissatisfaction with leadership response.</t>
  </si>
  <si>
    <t>wanting real improvements beyond just thank-yous</t>
  </si>
  <si>
    <t>I know that this is just... that we are currently experience a peak in working hours due to the critical timeline, but I want... I would like to see them making proposals on how this time can be compensated in the next week.</t>
  </si>
  <si>
    <t>Self-softens the problem by calling it a 'peak' but then pushes back with a specific expectation of leadership.</t>
  </si>
  <si>
    <t>wanting concrete proposals for compensating extreme hours</t>
  </si>
  <si>
    <t>So I wanna see something really tangible here and not just we are working on something and, and, and so on.</t>
  </si>
  <si>
    <t>Expresses frustration with leadership's lack of concrete follow-through using critical paraphrasing of their responses.</t>
  </si>
  <si>
    <t>needing tangible action not vague reassurances</t>
  </si>
  <si>
    <t>Workload has not been sustainable at all. I mean, already this week, for example, like last night, we worked until 4:00 a.m. in the morning.</t>
  </si>
  <si>
    <t>Directly states a serious workload problem with a concrete example of extreme hours.</t>
  </si>
  <si>
    <t>working until 4 a.m. because workload is unsustainable</t>
  </si>
  <si>
    <t>{"session_id": "673607d7-554a-4699-be5a-fe4aa719d6a5", "quotes": [{"quote_text": "But what could be improved, I would say the, um, predictability of the workload.", "topic": "overall_experience", "first_order_code": "workload predictability could be improved", "flagging_reason": "Participant names a specific aspect of work that needs improvement.", "confidence": 0.95}, {"quote_text": "So we had to finish the slides for a very important meeting, so I just think that because the deadline was, um, at the beginning of the week, so the workload was more the week before.", "topic": "overall_experience", "first_order_code": "deadline timing creates uneven workload across weeks", "flagging_reason": "Participant explains a structural issue with how deadline placement creates workload stress.", "confidence": 0.9}, {"quote_text": "The working hours were long, but okay.", "topic": "workload_sustainability", "first_order_code": "long hours but acceptable", "flagging_reason": "Participant acknowledges a concern (long hours) while immediately softening it with reassurance.", "confidence": 0.85}, {"quote_text": "Well, I think the, um, the leadership that I'm working with directly is quite engaged, but the more senior ones, I don't really work with them directly, so I cannot really say anything about how engaged they are.", "topic": "leadership_engagement", "first_order_code": "no direct contact with senior leadership to assess engagement", "flagging_reason": "Participant indicates a limitation in visibility or access to more senior leaders.", "confidence": 0.8}]}</t>
  </si>
  <si>
    <t>Well, I think the, um, the leadership that I'm working with directly is quite engaged, but the more senior ones, I don't really work with them directly, so I cannot really say anything about how engaged they are.</t>
  </si>
  <si>
    <t>Participant indicates a limitation in visibility or access to more senior leaders.</t>
  </si>
  <si>
    <t>no direct contact with senior leadership to assess engagement</t>
  </si>
  <si>
    <t>But what could be improved, I would say the, um, predictability of the workload.</t>
  </si>
  <si>
    <t>Participant names a specific aspect of work that needs improvement.</t>
  </si>
  <si>
    <t>workload predictability could be improved</t>
  </si>
  <si>
    <t>So we had to finish the slides for a very important meeting, so I just think that because the deadline was, um, at the beginning of the week, so the workload was more the week before.</t>
  </si>
  <si>
    <t>Participant explains a structural issue with how deadline placement creates workload stress.</t>
  </si>
  <si>
    <t>deadline timing creates uneven workload across weeks</t>
  </si>
  <si>
    <t>The working hours were long, but okay.</t>
  </si>
  <si>
    <t>Participant acknowledges a concern (long hours) while immediately softening it with reassurance.</t>
  </si>
  <si>
    <t>long hours but acceptable</t>
  </si>
  <si>
    <t>{"session_id": "74307b60-1913-40ad-a66a-30f913597f0d", "quotes": [{"quote_text": "I think that at times, um, the workload was not evenly distributed, and so just creating some more transparency on where people stand and what their priorities are, um, is great.", "topic": "overall_experience", "first_order_code": "workload sometimes unevenly distributed across the team", "flagging_reason": "Identifies a work friction around unequal task allocation, softened with 'at times' and quickly followed by a proposed solution.", "confidence": 0.85}, {"quote_text": "I think for the moment, we're very much focused on, uh, working on any requests that come in, um, versus really developing our own IP and ideas further, um, really taking the time that we have to invest into demos and sort of building IP overall.", "topic": "client_value", "first_order_code": "stuck answering requests instead of developing our own IP", "flagging_reason": "Expresses concern about work priorities being reactive rather than strategic, framed as a current limitation.", "confidence": 0.9}, {"quote_text": "So I think if we manage, um, to pull away from the daily work of answering requests, um, and really getting into, uh, developing IP that helps us in the long term, I think that's a good, um, um, uh, sort of shift in priorities that we have to take", "topic": "client_value", "first_order_code": "needing to shift away from daily request work", "flagging_reason": "Reiterates the concern about being trapped in reactive work patterns, framed as a needed change.", "confidence": 0.85}, {"quote_text": "We're quite, quite fragmented in the way that we work, so that, uh, every team member supports one individual team or several.", "topic": "client_value", "first_order_code": "working in a fragmented way across different teams", "flagging_reason": "Points to a structural problem in how work is organized, presented matter-of-factly but labeled as fragmentation.", "confidence": 0.8}, {"quote_text": "That's difficult for me to answer because I'm leadership myself, um, but in terms of the MDPs that are involved, uh, I think g- general interest and helpful reflection. Not super deep into the details, but that's fine for the moment.", "topic": "leadership_engagement", "first_order_code": "leadership not super deep into details but that's okay", "flagging_reason": "Acknowledges limited depth of senior leadership engagement, quickly minimized with 'but that's fine for the moment.'", "confidence": 0.75}]}</t>
  </si>
  <si>
    <t>I think for the moment, we're very much focused on, uh, working on any requests that come in, um, versus really developing our own IP and ideas further, um, really taking the time that we have to invest into demos and sort of building IP overall.</t>
  </si>
  <si>
    <t>Expresses concern about work priorities being reactive rather than strategic, framed as a current limitation.</t>
  </si>
  <si>
    <t>stuck answering requests instead of developing our own IP</t>
  </si>
  <si>
    <t>So I think if we manage, um, to pull away from the daily work of answering requests, um, and really getting into, uh, developing IP that helps us in the long term, I think that's a good, um, um, uh, sort of shift in priorities that we have to take</t>
  </si>
  <si>
    <t>Reiterates the concern about being trapped in reactive work patterns, framed as a needed change.</t>
  </si>
  <si>
    <t>needing to shift away from daily request work</t>
  </si>
  <si>
    <t>We're quite, quite fragmented in the way that we work, so that, uh, every team member supports one individual team or several.</t>
  </si>
  <si>
    <t>Points to a structural problem in how work is organized, presented matter-of-factly but labeled as fragmentation.</t>
  </si>
  <si>
    <t>working in a fragmented way across different teams</t>
  </si>
  <si>
    <t>That's difficult for me to answer because I'm leadership myself, um, but in terms of the MDPs that are involved, uh, I think g- general interest and helpful reflection. Not super deep into the details, but that's fine for the moment.</t>
  </si>
  <si>
    <t>Acknowledges limited depth of senior leadership engagement, quickly minimized with 'but that's fine for the moment.'</t>
  </si>
  <si>
    <t>leadership not super deep into details but that's okay</t>
  </si>
  <si>
    <t>I think that at times, um, the workload was not evenly distributed, and so just creating some more transparency on where people stand and what their priorities are, um, is great.</t>
  </si>
  <si>
    <t>Identifies a work friction around unequal task allocation, softened with 'at times' and quickly followed by a proposed solution.</t>
  </si>
  <si>
    <t>workload sometimes unevenly distributed across the team</t>
  </si>
  <si>
    <t>{"session_id": "765ddee0-ced4-4452-92f0-32a0f7e0b8ce", "quotes": [{"quote_text": "what didn't work so well is, um, sh- ad hoc, uh, requests, both, um, internally and externally, so from within the team and, and also from the client.", "topic": "overall_experience", "first_order_code": "ad hoc requests coming from team and client", "flagging_reason": "Identifies a work problem affecting the week negatively.", "confidence": 0.95}, {"quote_text": "the working hours were really bad last week, very unsustainable, uh, leading to, for example, health issues and concentration issues among the team members.", "topic": "overall_experience", "first_order_code": "working hours causing health and concentration problems", "flagging_reason": "Describes serious consequences of a work concern affecting physical and mental capacity.", "confidence": 1.0}, {"quote_text": "people are, uh, keep saying that the working hours will be better soon, but they always say it and it never ha- has changed and, and it won't.", "topic": "overall_experience", "first_order_code": "promises about hours improving never materialize", "flagging_reason": "Expresses frustration with repeated unfulfilled assurances from leadership or others.", "confidence": 0.95}, {"quote_text": "Working past midnight, even until 2:00 to 3:00 AM. Um, and nobody... Like, there's no solution and there hasn't been a real solution until now.", "topic": "overall_experience", "first_order_code": "working until 2-3am with no real solution offered", "flagging_reason": "Describes extreme work hours and emphasizes the absence of organizational response.", "confidence": 1.0}, {"quote_text": "A, a symptom of this is that there's, um, um, that people accuse other work streams, um, for, for, uh, for the fact that work is not distributed equally, but this is not the solution.", "topic": "overall_experience", "first_order_code": "team blaming other workstreams instead of solving the problem", "flagging_reason": "Describes team friction and ineffective conflict response that deflects from root causes.", "confidence": 0.9}, {"quote_text": "so I feel like nobody's really changing anything about the working hours, um, and they just keep adding tasks and expectations, uh, lengthening the, the backlog list.", "topic": "overall_experience", "first_order_code": "no one changes hours while tasks keep being added", "flagging_reason": "Expresses frustration with inaction from leadership and worsening workload.", "confidence": 0.95}, {"quote_text": "I don't know if it's the team size or maybe we need to manage the client more and, or maybe involve the other workstreams more, but there's just too many deliverables, um, that w- we as a workstream need to, um, fulfill.", "topic": "overall_experience", "first_order_code": "unsure if team size or client management is the issue but too many deliverables", "flagging_reason": "Describes being overwhelmed while hedging about root cause attribution across multiple possibilities.", "confidence": 0.85}, {"quote_text": "It hasn't been sustainable at all. Like, um, just too long working hours, working until 2:00 a.m., 3:00 a.m.", "topic": "workload_sustainability", "first_order_code": "working until 2-3am with no real solution offered", "flagging_reason": "Reiterates extreme hours as fundamentally unsustainable.", "confidence": 1.0}, {"quote_text": "sustainability is not only about working hours, but also the, the atmosphere. And so, like, from the leadership and project leadership included, it's very... it's often very frustrating", "topic": "workload_sustainability", "first_order_code": "leadership creates a frustrating atmosphere beyond just hours", "flagging_reason": "Raises a concern about leadership behavior affecting work environment.", "confidence": 0.9}, {"quote_text": "also just the lack of appreciation, uh, the lack of recognition of the work that goes into the output.", "topic": "workload_sustainability", "first_order_code": "leadership doesn't recognize the work behind outputs", "flagging_reason": "Expresses feeling undervalued by leadership for effort invested.", "confidence": 0.95}, {"quote_text": "You, you can't just add a tick mark by saying, \"Thank you,\" um, because \"thank you\" is very simple to say. So there's just not really an appreciation, especially also, it's not just about the words you select, but also the tone you use, um, and the, the facial ex-expressions.", "topic": "workload_sustainability", "first_order_code": "thank yous feel hollow given tone and body language", "flagging_reason": "Describes superficial gestures from leadership that don't convey genuine appreciation.", "confidence": 0.9}, {"quote_text": "I understand that there's a lot of stress and pressure, uh, on everybody, but that, that doesn't give the right, and it's also very contra-productive, uh, counter-productive, uh, in the sense that it even worsens the pressure and the atmosphere.", "topic": "workload_sustainability", "first_order_code": "leadership stress doesn't excuse worsening the team atmosphere", "flagging_reason": "Criticizes leadership behavior while briefly softening with understanding before reasserting the concern.", "confidence": 0.85}, {"quote_text": "I, I don't want to answer this.", "topic": "workload_sustainability", "first_order_code": "declining to answer when asked for specifics", "flagging_reason": "Explicit refusal to disclose further after agent probes for examples or details.", "confidence": 1.0}]}</t>
  </si>
  <si>
    <t>A, a symptom of this is that there's, um, um, that people accuse other work streams, um, for, for, uh, for the fact that work is not distributed equally, but this is not the solution.</t>
  </si>
  <si>
    <t>Describes team friction and ineffective conflict response that deflects from root causes.</t>
  </si>
  <si>
    <t>team blaming other workstreams instead of solving the problem</t>
  </si>
  <si>
    <t>I don't know if it's the team size or maybe we need to manage the client more and, or maybe involve the other workstreams more, but there's just too many deliverables, um, that w- we as a workstream need to, um, fulfill.</t>
  </si>
  <si>
    <t>Describes being overwhelmed while hedging about root cause attribution across multiple possibilities.</t>
  </si>
  <si>
    <t>unsure if team size or client management is the issue but too many deliverables</t>
  </si>
  <si>
    <t>Working past midnight, even until 2:00 to 3:00 AM. Um, and nobody... Like, there's no solution and there hasn't been a real solution until now.</t>
  </si>
  <si>
    <t>Describes extreme work hours and emphasizes the absence of organizational response.</t>
  </si>
  <si>
    <t>working until 2-3am with no real solution offered</t>
  </si>
  <si>
    <t>people are, uh, keep saying that the working hours will be better soon, but they always say it and it never ha- has changed and, and it won't.</t>
  </si>
  <si>
    <t>Expresses frustration with repeated unfulfilled assurances from leadership or others.</t>
  </si>
  <si>
    <t>promises about hours improving never materialize</t>
  </si>
  <si>
    <t>so I feel like nobody's really changing anything about the working hours, um, and they just keep adding tasks and expectations, uh, lengthening the, the backlog list.</t>
  </si>
  <si>
    <t>Expresses frustration with inaction from leadership and worsening workload.</t>
  </si>
  <si>
    <t>no one changes hours while tasks keep being added</t>
  </si>
  <si>
    <t>the working hours were really bad last week, very unsustainable, uh, leading to, for example, health issues and concentration issues among the team members.</t>
  </si>
  <si>
    <t>Describes serious consequences of a work concern affecting physical and mental capacity.</t>
  </si>
  <si>
    <t>working hours causing health and concentration problems</t>
  </si>
  <si>
    <t>what didn't work so well is, um, sh- ad hoc, uh, requests, both, um, internally and externally, so from within the team and, and also from the client.</t>
  </si>
  <si>
    <t>Identifies a work problem affecting the week negatively.</t>
  </si>
  <si>
    <t>ad hoc requests coming from team and client</t>
  </si>
  <si>
    <t>I understand that there's a lot of stress and pressure, uh, on everybody, but that, that doesn't give the right, and it's also very contra-productive, uh, counter-productive, uh, in the sense that it even worsens the pressure and the atmosphere.</t>
  </si>
  <si>
    <t>Criticizes leadership behavior while briefly softening with understanding before reasserting the concern.</t>
  </si>
  <si>
    <t>leadership stress doesn't excuse worsening the team atmosphere</t>
  </si>
  <si>
    <t>I, I don't want to answer this.</t>
  </si>
  <si>
    <t>Explicit refusal to disclose further after agent probes for examples or details.</t>
  </si>
  <si>
    <t>declining to answer when asked for specifics</t>
  </si>
  <si>
    <t>It hasn't been sustainable at all. Like, um, just too long working hours, working until 2:00 a.m., 3:00 a.m.</t>
  </si>
  <si>
    <t>Reiterates extreme hours as fundamentally unsustainable.</t>
  </si>
  <si>
    <t>You, you can't just add a tick mark by saying, "Thank you," um, because "thank you" is very simple to say. So there's just not really an appreciation, especially also, it's not just about the words you select, but also the tone you use, um, and the, the facial ex-expressions.</t>
  </si>
  <si>
    <t>Describes superficial gestures from leadership that don't convey genuine appreciation.</t>
  </si>
  <si>
    <t>thank yous feel hollow given tone and body language</t>
  </si>
  <si>
    <t>also just the lack of appreciation, uh, the lack of recognition of the work that goes into the output.</t>
  </si>
  <si>
    <t>Expresses feeling undervalued by leadership for effort invested.</t>
  </si>
  <si>
    <t>leadership doesn't recognize the work behind outputs</t>
  </si>
  <si>
    <t>sustainability is not only about working hours, but also the, the atmosphere. And so, like, from the leadership and project leadership included, it's very... it's often very frustrating</t>
  </si>
  <si>
    <t>Raises a concern about leadership behavior affecting work environment.</t>
  </si>
  <si>
    <t>leadership creates a frustrating atmosphere beyond just hours</t>
  </si>
  <si>
    <t>{"session_id": "776dad90-f3b0-4892-8800-a18fd6860f3d", "quotes": [{"quote_text": "I was on training last week, so my personal workload is not reflective of the team as a whole.", "topic": "workload_sustainability", "first_order_code": "own workload unrepresentative due to being away on training", "flagging_reason": "Participant preemptively distances their own experience from the team's, suggesting possible awareness of team strain they didn't experience.", "confidence": 0.65}, {"quote_text": "I'm hoping that the rest of the team can pick that up as well, because I think those are really what differentiate us from competition.", "topic": "client_value", "first_order_code": "hoping other team members will also shift to demos", "flagging_reason": "Expresses a hope framed as aspiration but implies the rest of the team is not yet doing what the participant sees as differentiating work.", "confidence": 0.72}]}</t>
  </si>
  <si>
    <t>I'm hoping that the rest of the team can pick that up as well, because I think those are really what differentiate us from competition.</t>
  </si>
  <si>
    <t>Expresses a hope framed as aspiration but implies the rest of the team is not yet doing what the participant sees as differentiating work.</t>
  </si>
  <si>
    <t>hoping other team members will also shift to demos</t>
  </si>
  <si>
    <t>I was on training last week, so my personal workload is not reflective of the team as a whole.</t>
  </si>
  <si>
    <t>Participant preemptively distances their own experience from the team's, suggesting possible awareness of team strain they didn't experience.</t>
  </si>
  <si>
    <t>own workload unrepresentative due to being away on training</t>
  </si>
  <si>
    <t>{"session_id": "78878e46-a4aa-481a-afe7-4da50d92715e", "quotes": [{"quote_text": "Workload was unevenly distributed across teams. Selected teams were sitting ways beyond 12:00 or midnight in the evening and working long, long, long hours, slept basically no time, while the teams went home at 10:00, 11:00-ish or even had a team dinner. I think that's quite unfair.", "topic": "overall_experience", "first_order_code": "some teams working past midnight while others leave early", "flagging_reason": "Describes a resource allocation problem affecting fairness across teams.", "confidence": 0.95}, {"quote_text": "And again, those peaks last for longer than just a couple of days, but for weeks already, and are also all the time affecting more or less the same team.", "topic": "overall_experience", "first_order_code": "same team repeatedly hit with weeks-long peaks", "flagging_reason": "Points to sustained and repetitive burden on specific team members.", "confidence": 0.9}, {"quote_text": "Also, the stress during the days is unevenly distributed and sometimes put only on the shoulders of one single person. For example, regarding the IPP build-out case, as it happened on Friday.", "topic": "overall_experience", "first_order_code": "one person carrying all the stress on certain workstreams", "flagging_reason": "Identifies concentration of pressure on individuals with a specific example cited.", "confidence": 0.95}, {"quote_text": "But still, management, the last couple of weeks especially, was super, was not good, as it was more or less clear that the rush towards the final deadline by end of last week or for even the next, end of May is, would happen, and nobody cared.", "topic": "overall_experience", "first_order_code": "management knew the crunch was coming but nobody cared", "flagging_reason": "Criticizes leadership inaction despite foreseeable workload crisis.", "confidence": 0.95}, {"quote_text": "But instead of shifting more capacity to some more skilled capabilities to that team, more capabilities and capacities were shifted to other topics, such as renew, building tons of measures with limited impact comparably than the business case. So again, it was bad management of skills and capabilities and capacities.", "topic": "overall_experience", "first_order_code": "capacity shifted to low-impact work instead of the overloaded team", "flagging_reason": "Describes misallocation of resources away from critical needs.", "confidence": 0.9}, {"quote_text": "Probably one would have had to stand up against other senior stakeholders, for example, Mr. Fisher, and said, \"Okay, we're doing this, for example, validation work, and we're not doing renew because it's important that we do it now and not later,\" and stuff like that. But it didn't happen, actually.", "topic": "overall_experience", "first_order_code": "nobody stood up to senior stakeholders to push back on priorities", "flagging_reason": "Identifies failure to challenge senior figures as contributing to workload problem.", "confidence": 0.9}, {"quote_text": "It's just my impression, not sure whether it's true, but this is what was conveyed to the team.", "topic": "overall_experience", "first_order_code": "hedging that it's just an impression, not sure if true", "flagging_reason": "Softens the preceding criticism with self-doubt language after naming a senior stakeholder.", "confidence": 0.85}, {"quote_text": "For the last, I don't know, nine weeks or so, I just had two weekends where I didn't work basically. And this doesn't hold for me, but also for the team, so not sustainable at all.", "topic": "workload_sustainability", "first_order_code": "working nine weeks straight with only two weekends off", "flagging_reason": "Quantifies extent of unsustainable schedule affecting self and team.", "confidence": 0.95}, {"quote_text": "You see that people are super stressed, and when people are super stressed, you see that more mistakes basically happen.", "topic": "workload_sustainability", "first_order_code": "stress causing more mistakes to happen", "flagging_reason": "Links workload pressure to decline in work quality.", "confidence": 0.9}, {"quote_text": "Knowing that we had a deadline last Friday, of course, and the final deadline in two weeks, it would be fair to have a sprint like the one, two weeks before the final deadline, but not for the extended period before that.", "topic": "workload_sustainability", "first_order_code": "sprint-level intensity unfair when stretched across many weeks", "flagging_reason": "Criticizes duration of high-intensity period as unreasonable.", "confidence": 0.85}, {"quote_text": "We still need to write the remaining 150-ish or so, so there's still a big stretch to go, and the preparation time, again, is super short.", "topic": "workload_sustainability", "first_order_code": "huge amount of work left with very short time remaining", "flagging_reason": "Expresses concern about insufficient time for remaining deliverables.", "confidence": 0.85}, {"quote_text": "My feeling is that we're doing a lot of topics with minor impact and very much detail, and sometimes we're lacking a little bit of pragmatism or stricter rules.", "topic": "client_value", "first_order_code": "spending effort on minor-impact topics instead of being pragmatic", "flagging_reason": "Critiques project scope management and prioritization decisions.", "confidence": 0.9}, {"quote_text": "This is the final, final deadline for the business case deliveries, and we're not gonna change anything again. But this is nothing that has been communicated or lived upon that strictly, which usually would have helped the team.", "topic": "client_value", "first_order_code": "no strict cutoff enforced, constant changes hurt the team", "flagging_reason": "Identifies lack of boundaries from leadership as harmful to team.", "confidence": 0.9}, {"quote_text": "The client will also maybe notice some of the uncorrectnesses that happened during, due to the very high workload and lack of sleep, of course, which will shadow the good work and what was put in from what the team did.", "topic": "client_value", "first_order_code": "errors from overwork might overshadow the good work done", "flagging_reason": "Worries that quality problems caused by workload will damage team reputation.", "confidence": 0.9}, {"quote_text": "Last week is not a good example as the leadership was on a conference, so basically they weren't present because they had a senior MDP meeting in San Francisco.", "topic": "leadership_engagement", "first_order_code": "leadership absent at conference during critical week", "flagging_reason": "Notes leadership unavailability during a high-pressure period, deflecting direct criticism by calling it not a good example.", "confidence": 0.85}]}</t>
  </si>
  <si>
    <t>My feeling is that we're doing a lot of topics with minor impact and very much detail, and sometimes we're lacking a little bit of pragmatism or stricter rules.</t>
  </si>
  <si>
    <t>Critiques project scope management and prioritization decisions.</t>
  </si>
  <si>
    <t>spending effort on minor-impact topics instead of being pragmatic</t>
  </si>
  <si>
    <t>The client will also maybe notice some of the uncorrectnesses that happened during, due to the very high workload and lack of sleep, of course, which will shadow the good work and what was put in from what the team did.</t>
  </si>
  <si>
    <t>Worries that quality problems caused by workload will damage team reputation.</t>
  </si>
  <si>
    <t>errors from overwork might overshadow the good work done</t>
  </si>
  <si>
    <t>This is the final, final deadline for the business case deliveries, and we're not gonna change anything again. But this is nothing that has been communicated or lived upon that strictly, which usually would have helped the team.</t>
  </si>
  <si>
    <t>Identifies lack of boundaries from leadership as harmful to team.</t>
  </si>
  <si>
    <t>no strict cutoff enforced, constant changes hurt the team</t>
  </si>
  <si>
    <t>Last week is not a good example as the leadership was on a conference, so basically they weren't present because they had a senior MDP meeting in San Francisco.</t>
  </si>
  <si>
    <t>Notes leadership unavailability during a high-pressure period, deflecting direct criticism by calling it not a good example.</t>
  </si>
  <si>
    <t>leadership absent at conference during critical week</t>
  </si>
  <si>
    <t>Also, the stress during the days is unevenly distributed and sometimes put only on the shoulders of one single person. For example, regarding the IPP build-out case, as it happened on Friday.</t>
  </si>
  <si>
    <t>Identifies concentration of pressure on individuals with a specific example cited.</t>
  </si>
  <si>
    <t>one person carrying all the stress on certain workstreams</t>
  </si>
  <si>
    <t>And again, those peaks last for longer than just a couple of days, but for weeks already, and are also all the time affecting more or less the same team.</t>
  </si>
  <si>
    <t>Points to sustained and repetitive burden on specific team members.</t>
  </si>
  <si>
    <t>same team repeatedly hit with weeks-long peaks</t>
  </si>
  <si>
    <t>But instead of shifting more capacity to some more skilled capabilities to that team, more capabilities and capacities were shifted to other topics, such as renew, building tons of measures with limited impact comparably than the business case. So again, it was bad management of skills and capabilities and capacities.</t>
  </si>
  <si>
    <t>Describes misallocation of resources away from critical needs.</t>
  </si>
  <si>
    <t>capacity shifted to low-impact work instead of the overloaded team</t>
  </si>
  <si>
    <t>But still, management, the last couple of weeks especially, was super, was not good, as it was more or less clear that the rush towards the final deadline by end of last week or for even the next, end of May is, would happen, and nobody cared.</t>
  </si>
  <si>
    <t>Criticizes leadership inaction despite foreseeable workload crisis.</t>
  </si>
  <si>
    <t>management knew the crunch was coming but nobody cared</t>
  </si>
  <si>
    <t>It's just my impression, not sure whether it's true, but this is what was conveyed to the team.</t>
  </si>
  <si>
    <t>Softens the preceding criticism with self-doubt language after naming a senior stakeholder.</t>
  </si>
  <si>
    <t>hedging that it's just an impression, not sure if true</t>
  </si>
  <si>
    <t>Probably one would have had to stand up against other senior stakeholders, for example, Mr. Fisher, and said, "Okay, we're doing this, for example, validation work, and we're not doing renew because it's important that we do it now and not later," and stuff like that. But it didn't happen, actually.</t>
  </si>
  <si>
    <t>Identifies failure to challenge senior figures as contributing to workload problem.</t>
  </si>
  <si>
    <t>nobody stood up to senior stakeholders to push back on priorities</t>
  </si>
  <si>
    <t>Workload was unevenly distributed across teams. Selected teams were sitting ways beyond 12:00 or midnight in the evening and working long, long, long hours, slept basically no time, while the teams went home at 10:00, 11:00-ish or even had a team dinner. I think that's quite unfair.</t>
  </si>
  <si>
    <t>Describes a resource allocation problem affecting fairness across teams.</t>
  </si>
  <si>
    <t>some teams working past midnight while others leave early</t>
  </si>
  <si>
    <t>For the last, I don't know, nine weeks or so, I just had two weekends where I didn't work basically. And this doesn't hold for me, but also for the team, so not sustainable at all.</t>
  </si>
  <si>
    <t>Quantifies extent of unsustainable schedule affecting self and team.</t>
  </si>
  <si>
    <t>working nine weeks straight with only two weekends off</t>
  </si>
  <si>
    <t>Knowing that we had a deadline last Friday, of course, and the final deadline in two weeks, it would be fair to have a sprint like the one, two weeks before the final deadline, but not for the extended period before that.</t>
  </si>
  <si>
    <t>Criticizes duration of high-intensity period as unreasonable.</t>
  </si>
  <si>
    <t>sprint-level intensity unfair when stretched across many weeks</t>
  </si>
  <si>
    <t>We still need to write the remaining 150-ish or so, so there's still a big stretch to go, and the preparation time, again, is super short.</t>
  </si>
  <si>
    <t>Expresses concern about insufficient time for remaining deliverables.</t>
  </si>
  <si>
    <t>huge amount of work left with very short time remaining</t>
  </si>
  <si>
    <t>You see that people are super stressed, and when people are super stressed, you see that more mistakes basically happen.</t>
  </si>
  <si>
    <t>Links workload pressure to decline in work quality.</t>
  </si>
  <si>
    <t>stress causing more mistakes to happen</t>
  </si>
  <si>
    <t>{"session_id": "798df544-2a83-4cc1-b90b-951d546bdd99", "quotes": [{"quote_text": "I think what could be improved is just a little bit the prioritization of topics. Um, it's by far not a major issue, and I would ask you to, to write this in the output format which you are creating in exactly that way, that it's not a, not a big issue.", "topic": "overall_experience", "first_order_code": "asking the AI to write it down as not a big issue", "flagging_reason": "Participant names a concern but immediately minimizes it and explicitly requests the AI record it as minor, showing active concern management.", "confidence": 0.95}, {"quote_text": "Well, that's hard for me to tell, to be honest.", "topic": "overall_experience", "first_order_code": "declining to elaborate when probed", "flagging_reason": "Participant closes off further discussion after raising the prioritization concern, suggesting reluctance to provide detail.", "confidence": 0.75}, {"quote_text": "Of course, the, um, span to cover is, is, is right, right now quite big, as I mentioned, due to the vacation and so on of a team member, but I think we handled that well.", "topic": "workload_sustainability", "first_order_code": "acknowledging large workload but saying we handled it well", "flagging_reason": "Participant acknowledges increased workload coverage but immediately reframes it positively, softening the concern.", "confidence": 0.8}, {"quote_text": "I think, as always, it's pretty challenging if we have parts of the team in the US and parts of the team, uh, on the ground in Germany. So due to the time difference of nine hours, it's hard to coordinate, and there might be ineffective time, um, in between where coordination or alignment is not going on.", "topic": "closing", "first_order_code": "ineffective waiting time due to nine-hour time difference", "flagging_reason": "Participant describes a concrete work friction involving coordination delays and ineffective time caused by geographical team split.", "confidence": 0.9}, {"quote_text": "Um, but yeah, I think that's a well-known, I don't want to say issue, but a well-known, um, topic. Across the team.", "topic": "closing", "first_order_code": "calling it a well-known topic not an issue", "flagging_reason": "Participant explicitly hedges language to avoid calling the time-zone coordination problem an 'issue,' softening the concern through word choice.", "confidence": 0.85}]}</t>
  </si>
  <si>
    <t>I think, as always, it's pretty challenging if we have parts of the team in the US and parts of the team, uh, on the ground in Germany. So due to the time difference of nine hours, it's hard to coordinate, and there might be ineffective time, um, in between where coordination or alignment is not going on.</t>
  </si>
  <si>
    <t>Participant describes a concrete work friction involving coordination delays and ineffective time caused by geographical team split.</t>
  </si>
  <si>
    <t>ineffective waiting time due to nine-hour time difference</t>
  </si>
  <si>
    <t>Um, but yeah, I think that's a well-known, I don't want to say issue, but a well-known, um, topic. Across the team.</t>
  </si>
  <si>
    <t>Participant explicitly hedges language to avoid calling the time-zone coordination problem an 'issue,' softening the concern through word choice.</t>
  </si>
  <si>
    <t>calling it a well-known topic not an issue</t>
  </si>
  <si>
    <t>I think what could be improved is just a little bit the prioritization of topics. Um, it's by far not a major issue, and I would ask you to, to write this in the output format which you are creating in exactly that way, that it's not a, not a big issue.</t>
  </si>
  <si>
    <t>Participant names a concern but immediately minimizes it and explicitly requests the AI record it as minor, showing active concern management.</t>
  </si>
  <si>
    <t>asking the AI to write it down as not a big issue</t>
  </si>
  <si>
    <t>Well, that's hard for me to tell, to be honest.</t>
  </si>
  <si>
    <t>Participant closes off further discussion after raising the prioritization concern, suggesting reluctance to provide detail.</t>
  </si>
  <si>
    <t>declining to elaborate when probed</t>
  </si>
  <si>
    <t>Of course, the, um, span to cover is, is, is right, right now quite big, as I mentioned, due to the vacation and so on of a team member, but I think we handled that well.</t>
  </si>
  <si>
    <t>Participant acknowledges increased workload coverage but immediately reframes it positively, softening the concern.</t>
  </si>
  <si>
    <t>acknowledging large workload but saying we handled it well</t>
  </si>
  <si>
    <t>{"session_id": "7b601043-7f13-4283-b66f-0be2a78ee37f", "quotes": [{"quote_text": "I was actually not with the team as I was doing home office, as I was feeling not so perfect.", "topic": "overall_experience", "first_order_code": "working from home while not feeling well", "flagging_reason": "Discloses a health-related limitation softened by saying 'not so perfect' rather than stating the condition directly.", "confidence": 0.75}, {"quote_text": "I think it was just the fact that, um, people, you know, they were inclusive. That was nice.", "topic": "overall_experience", "first_order_code": "teammates being inclusive when I was absent", "flagging_reason": "Reveals a mild concern about exclusion that was mitigated, framed positively but implies potential worry about being left out.", "confidence": 0.65}, {"quote_text": "That I sleep okay and that I don't... am not worried about the week on Sunday, like, ahead for the week ahead.", "topic": "workload_sustainability", "first_order_code": "not worrying about the upcoming week on Sunday", "flagging_reason": "Implies that Sunday anxiety about the week ahead is a meaningful benchmark for workload sustainability, suggesting it has been a concern before.", "confidence": 0.8}, {"quote_text": "Our leadership is really great. Always there if we need anything. Um, one that strikes a good balance between, like, being there if we need it, but also not being too micromanagey and asking for unnecessary reviews.", "topic": "leadership_engagement", "first_order_code": "leadership not being micromanagey or asking for unnecessary reviews", "flagging_reason": "Frames leadership positively but reveals awareness of micromanagement and unnecessary review requests as potential friction points worth mentioning.", "confidence": 0.7}]}</t>
  </si>
  <si>
    <t>Our leadership is really great. Always there if we need anything. Um, one that strikes a good balance between, like, being there if we need it, but also not being too micromanagey and asking for unnecessary reviews.</t>
  </si>
  <si>
    <t>Frames leadership positively but reveals awareness of micromanagement and unnecessary review requests as potential friction points worth mentioning.</t>
  </si>
  <si>
    <t>leadership not being micromanagey or asking for unnecessary reviews</t>
  </si>
  <si>
    <t>I think it was just the fact that, um, people, you know, they were inclusive. That was nice.</t>
  </si>
  <si>
    <t>Reveals a mild concern about exclusion that was mitigated, framed positively but implies potential worry about being left out.</t>
  </si>
  <si>
    <t>teammates being inclusive when I was absent</t>
  </si>
  <si>
    <t>I was actually not with the team as I was doing home office, as I was feeling not so perfect.</t>
  </si>
  <si>
    <t>Discloses a health-related limitation softened by saying 'not so perfect' rather than stating the condition directly.</t>
  </si>
  <si>
    <t>working from home while not feeling well</t>
  </si>
  <si>
    <t>That I sleep okay and that I don't... am not worried about the week on Sunday, like, ahead for the week ahead.</t>
  </si>
  <si>
    <t>Implies that Sunday anxiety about the week ahead is a meaningful benchmark for workload sustainability, suggesting it has been a concern before.</t>
  </si>
  <si>
    <t>not worrying about the upcoming week on Sunday</t>
  </si>
  <si>
    <t>{"session_id": "7bb39103-ef47-4738-8076-d18051a26e87", "quotes": [{"quote_text": "I think more proactive outreach when we feel like people are underwater.", "topic": "overall_experience", "first_order_code": "wanting proactive check-ins when someone is overwhelmed", "flagging_reason": "Expresses a concern about insufficient support when workload becomes unmanageable, framed as an improvement suggestion.", "confidence": 0.85}, {"quote_text": "differed load balancing because of double booking.", "topic": "overall_experience", "first_order_code": "load balancing affected by double booking", "flagging_reason": "States a work friction where scheduling conflicts are disrupting how work is distributed across the team.", "confidence": 0.9}, {"quote_text": "very active on the principal level, not so active on the MDP level.", "topic": "leadership_engagement", "first_order_code": "MDP level less active than principal level", "flagging_reason": "Identifies an unevenness in leadership engagement across hierarchy levels, though quickly neutralized with positive framing.", "confidence": 0.75}]}</t>
  </si>
  <si>
    <t>very active on the principal level, not so active on the MDP level.</t>
  </si>
  <si>
    <t>Identifies an unevenness in leadership engagement across hierarchy levels, though quickly neutralized with positive framing.</t>
  </si>
  <si>
    <t>MDP level less active than principal level</t>
  </si>
  <si>
    <t>I think more proactive outreach when we feel like people are underwater.</t>
  </si>
  <si>
    <t>Expresses a concern about insufficient support when workload becomes unmanageable, framed as an improvement suggestion.</t>
  </si>
  <si>
    <t>wanting proactive check-ins when someone is overwhelmed</t>
  </si>
  <si>
    <t>differed load balancing because of double booking.</t>
  </si>
  <si>
    <t>States a work friction where scheduling conflicts are disrupting how work is distributed across the team.</t>
  </si>
  <si>
    <t>load balancing affected by double booking</t>
  </si>
  <si>
    <t>{"session_id": "7fc633b3-a126-4e86-951c-11fcfb13d9ac", "quotes": [{"quote_text": "I think what might be improved is that, uh, for those being in Germany, we potentially need, um, more, like, structured, uh, check-ins so that the time zones match.", "topic": "overall_experience", "first_order_code": "needing more structured check-ins to manage time zones", "flagging_reason": "Identifies a coordination problem affecting teammates in Germany, softly framed as something that 'might be improved.'", "confidence": 0.85}, {"quote_text": "I mean, I was in the US, but I can imagine that, um, they are waiting long or longer t- longer hours for feedback.", "topic": "overall_experience", "first_order_code": "Germany team waiting longer hours for feedback", "flagging_reason": "Expresses concern about colleagues waiting extended hours, hedged by distancing ('I can imagine') since participant was not personally affected.", "confidence": 0.9}, {"quote_text": "I think one of the teammates was waiting for feedback on a deck, um, which then, due to meetings in the US, got pushed to the afternoon Pacific time, um, which then is during, uh, late in the night or late in the evening in Germany.", "topic": "overall_experience", "first_order_code": "feedback delayed until late evening Germany time due to US meetings", "flagging_reason": "Describes a specific friction where spontaneous US meetings caused a teammate to wait until late evening for necessary feedback.", "confidence": 0.95}, {"quote_text": "Um, so potentially there was, uh, the person was waiting, uh, for feedback, um, and needs to do it the next day, even though", "topic": "overall_experience", "first_order_code": "having to postpone work to next day while waiting for feedback", "flagging_reason": "Points to work disruption and delay caused by feedback timing issues, though the sentence trails off incomplete.", "confidence": 0.8}]}</t>
  </si>
  <si>
    <t>I mean, I was in the US, but I can imagine that, um, they are waiting long or longer t- longer hours for feedback.</t>
  </si>
  <si>
    <t>Expresses concern about colleagues waiting extended hours, hedged by distancing ('I can imagine') since participant was not personally affected.</t>
  </si>
  <si>
    <t>Germany team waiting longer hours for feedback</t>
  </si>
  <si>
    <t>I think one of the teammates was waiting for feedback on a deck, um, which then, due to meetings in the US, got pushed to the afternoon Pacific time, um, which then is during, uh, late in the night or late in the evening in Germany.</t>
  </si>
  <si>
    <t>Describes a specific friction where spontaneous US meetings caused a teammate to wait until late evening for necessary feedback.</t>
  </si>
  <si>
    <t>feedback delayed until late evening Germany time due to US meetings</t>
  </si>
  <si>
    <t>I think what might be improved is that, uh, for those being in Germany, we potentially need, um, more, like, structured, uh, check-ins so that the time zones match.</t>
  </si>
  <si>
    <t>Identifies a coordination problem affecting teammates in Germany, softly framed as something that 'might be improved.'</t>
  </si>
  <si>
    <t>needing more structured check-ins to manage time zones</t>
  </si>
  <si>
    <t>Um, so potentially there was, uh, the person was waiting, uh, for feedback, um, and needs to do it the next day, even though</t>
  </si>
  <si>
    <t>Points to work disruption and delay caused by feedback timing issues, though the sentence trails off incomplete.</t>
  </si>
  <si>
    <t>having to postpone work to next day while waiting for feedback</t>
  </si>
  <si>
    <t>{"session_id": "8062b433-5fc9-4b23-9509-1da78ea9d887", "quotes": [{"quote_text": "the working hours were better than the few weeks before, even though they're still not, uh, green", "topic": "overall_experience", "first_order_code": "hours improved but still not acceptable", "flagging_reason": "Surfaces a continuing work hours problem while partially softening it with acknowledgment of improvement.", "confidence": 0.85}, {"quote_text": "we're still, um, not in the green. Uh, like, um, we're still not going home, um, very early.", "topic": "workload_sustainability", "first_order_code": "still not going home early", "flagging_reason": "Discloses ongoing long hours as a sustained concern despite earlier mention of improvement.", "confidence": 0.9}, {"quote_text": "the, um, stress that it would have put on, on single members, uh, if, if it wasn't for the allocation of additional resources from other areas of the team", "topic": "workload_sustainability", "first_order_code": "stress avoided only by pulling in extra people", "flagging_reason": "Reveals that individual stress levels would have been unsustainable without resource reallocation.", "confidence": 0.88}, {"quote_text": "I'm not quite sure. Um, I... But I think, um, like, s- somewhat visible", "topic": "leadership_engagement", "first_order_code": "uncertain whether leadership sees my work", "flagging_reason": "Expresses uncertainty and hesitation about whether senior leaders are aware of their contributions.", "confidence": 0.82}, {"quote_text": "I, I don't know, to be honest.", "topic": "leadership_engagement", "first_order_code": "not knowing if help is available", "flagging_reason": "Functions as a closing-off response after being probed about access to leadership help.", "confidence": 0.75}, {"quote_text": "the workload is still pretty high. Uh, we're still working intense and long hours.", "topic": "closing", "first_order_code": "still working intense and long hours", "flagging_reason": "Reiterates sustained high workload as an ongoing concern when given an open opportunity to share.", "confidence": 0.92}, {"quote_text": "we hope to somewhat, like, be somewhat, um, like, get a, get a, not, not a gift, but, like, rewa- be rewarded for it at the end, um, in terms of, like, appreciation", "topic": "closing", "first_order_code": "hoping the intense work will be recognized", "flagging_reason": "Expresses uncertainty about recognition with hedging and self-correction, revealing concern about whether effort will be acknowledged.", "confidence": 0.87}, {"quote_text": "just the feeling of being seen and rewarded at the end, uh, would be kinda cool", "topic": "closing", "first_order_code": "wanting to feel seen for the effort", "flagging_reason": "Discloses a desire for visibility and recognition while minimizing it with casual language.", "confidence": 0.85}]}</t>
  </si>
  <si>
    <t>just the feeling of being seen and rewarded at the end, uh, would be kinda cool</t>
  </si>
  <si>
    <t>Discloses a desire for visibility and recognition while minimizing it with casual language.</t>
  </si>
  <si>
    <t>wanting to feel seen for the effort</t>
  </si>
  <si>
    <t>the workload is still pretty high. Uh, we're still working intense and long hours.</t>
  </si>
  <si>
    <t>Reiterates sustained high workload as an ongoing concern when given an open opportunity to share.</t>
  </si>
  <si>
    <t>still working intense and long hours</t>
  </si>
  <si>
    <t>we hope to somewhat, like, be somewhat, um, like, get a, get a, not, not a gift, but, like, rewa- be rewarded for it at the end, um, in terms of, like, appreciation</t>
  </si>
  <si>
    <t>Expresses uncertainty about recognition with hedging and self-correction, revealing concern about whether effort will be acknowledged.</t>
  </si>
  <si>
    <t>hoping the intense work will be recognized</t>
  </si>
  <si>
    <t>I'm not quite sure. Um, I... But I think, um, like, s- somewhat visible</t>
  </si>
  <si>
    <t>Expresses uncertainty and hesitation about whether senior leaders are aware of their contributions.</t>
  </si>
  <si>
    <t>uncertain whether leadership sees my work</t>
  </si>
  <si>
    <t>I, I don't know, to be honest.</t>
  </si>
  <si>
    <t>Functions as a closing-off response after being probed about access to leadership help.</t>
  </si>
  <si>
    <t>not knowing if help is available</t>
  </si>
  <si>
    <t>the working hours were better than the few weeks before, even though they're still not, uh, green</t>
  </si>
  <si>
    <t>Surfaces a continuing work hours problem while partially softening it with acknowledgment of improvement.</t>
  </si>
  <si>
    <t>hours improved but still not acceptable</t>
  </si>
  <si>
    <t>the, um, stress that it would have put on, on single members, uh, if, if it wasn't for the allocation of additional resources from other areas of the team</t>
  </si>
  <si>
    <t>Reveals that individual stress levels would have been unsustainable without resource reallocation.</t>
  </si>
  <si>
    <t>stress avoided only by pulling in extra people</t>
  </si>
  <si>
    <t>we're still, um, not in the green. Uh, like, um, we're still not going home, um, very early.</t>
  </si>
  <si>
    <t>Discloses ongoing long hours as a sustained concern despite earlier mention of improvement.</t>
  </si>
  <si>
    <t>still not going home early</t>
  </si>
  <si>
    <t>{"session_id": "8747d0d6-901e-4d01-81e5-3804686d7418", "quotes": [{"quote_text": "I don't have any concrete examples.", "topic": "client_value", "first_order_code": "unable to provide concrete examples when asked", "flagging_reason": "Participant acknowledges inability to substantiate their positive claim with specifics.", "confidence": 0.75}, {"quote_text": "Nothing comes to mind for concrete examples.", "topic": "leadership_engagement", "first_order_code": "unable to provide concrete examples when asked", "flagging_reason": "Participant repeats inability to give examples after being probed, suggesting possible withholding or genuine lack of engagement.", "confidence": 0.7}]}</t>
  </si>
  <si>
    <t>I don't have any concrete examples.</t>
  </si>
  <si>
    <t>Participant acknowledges inability to substantiate their positive claim with specifics.</t>
  </si>
  <si>
    <t>unable to provide concrete examples when asked</t>
  </si>
  <si>
    <t>Nothing comes to mind for concrete examples.</t>
  </si>
  <si>
    <t>Participant repeats inability to give examples after being probed, suggesting possible withholding or genuine lack of engagement.</t>
  </si>
  <si>
    <t>{"session_id": "8aaf4794-e9e6-469f-a2c8-ffa3d414cc06", "quotes": [{"quote_text": "There's still no clear guidelines on how module three is, um, basically, like, split between groups, um, and also, um, PL capacity is pulled somewhere else sometimes, so it's hard to coordinate there because it's just, um, no, um, clear definition yet of, um, how we're moving forward.", "topic": "overall_experience", "first_order_code": "no clear guidelines on how work is split between groups", "flagging_reason": "Describes an ongoing coordination problem caused by unclear role definitions.", "confidence": 0.95}, {"quote_text": "I think the, the mood between the finance team and the, um, renew team is, um, just a little bit off. Um, we noticed that the finance team works a lot longer.", "topic": "overall_experience", "first_order_code": "tension between teams due to imbalanced working hours", "flagging_reason": "Identifies interpersonal friction between teams and softens it as 'a little bit off.'", "confidence": 0.9}, {"quote_text": "I don't think that's, um, something we can improve by default, but what is happening is because, because of this, um, I guess, like, um, imbalance in working hours is that, um, we see, um, bad moods between the teams", "topic": "overall_experience", "first_order_code": "bad moods between teams that we can't fix ourselves", "flagging_reason": "Acknowledges a problem but reframes it as outside the participant's control to solve.", "confidence": 0.85}, {"quote_text": "it's, like, a little bit unim- inappropriate that, um, PLs are, um, like, making their, um... I don't know if their negative feelings hurt in teaming surveys and within their teams and not, mm, manage up between each other", "topic": "overall_experience", "first_order_code": "leaders venting to teams instead of resolving issues peer-to-peer", "flagging_reason": "Criticizes leadership behavior but hedges with 'a little bit' and 'I don't know if.'", "confidence": 0.9}, {"quote_text": "I just believe, um, that is, um, creating two different sides where we're... in reality, we are one team, right? So we need to, mm, like, we need our leadership to focus on that because I don't believe A's and C's definit- like, feel that way. I think it's, um, more the leadership that has, um, to align in that regard.", "topic": "overall_experience", "first_order_code": "reframing team problem as a leadership alignment issue", "flagging_reason": "Redirects blame away from junior staff toward leadership level to explain team division.", "confidence": 0.95}, {"quote_text": "I think what is unclear is, um, who owns what and when, um, a transfer of knowledge is happening. I think we wanted to, um, do that transfer by Wednesday last week. Now, like, that hasn't been possible.", "topic": "overall_experience", "first_order_code": "unclear ownership and missed knowledge transfer deadline", "flagging_reason": "Surfaces after probing; describes a concrete failure in handoff planning.", "confidence": 0.9}, {"quote_text": "I'm not getting clear signals on when to, um, hand over, and whenever I get the clear signals, they are revoked. So I, I got the clear signal to stop after Wednesday, um, now that hasn't happened. I haven't gotten more information on that.", "topic": "overall_experience", "first_order_code": "getting conflicting signals that keep getting revoked", "flagging_reason": "Describes frustration with inconsistent direction from leadership causing role ambiguity.", "confidence": 0.95}, {"quote_text": "I think what, what would make it actually stick is for, um, the PL to have the time to take over the responsibility, because right now I feel like she's doing a lot of things in parallel, and, um, there's like, uh, the responsibility overtake has not fully happened.", "topic": "overall_experience", "first_order_code": "handoff not happening because the PL is stretched too thin", "flagging_reason": "Explains that a colleague's overload is blocking work transition, softened with 'I feel like.'", "confidence": 0.9}, {"quote_text": "a lot of, um, stuff is still my responsibility, and un- unless I give that to her, I cannot fully exit that, um, module.", "topic": "overall_experience", "first_order_code": "stuck holding responsibility because handoff hasn't completed", "flagging_reason": "Describes being unable to transition out of a role due to unclear process.", "confidence": 0.85}, {"quote_text": "But also if I don't need to exit it, like also if I don't need to exit it, I need, like, clear, um, information that I'm further responsible for it. Because right now, I feel like there's a time delay building within, um, the core business process part of the module three, and I, I don't know who's responsible for it.", "topic": "overall_experience", "first_order_code": "not knowing who is responsible as delays build up", "flagging_reason": "Expresses concern about emerging delays caused by role confusion, hedged with 'I feel like.'", "confidence": 0.9}, {"quote_text": "I think, um, structural-wise, I think we can, uh, make some improvements there, especially, um, um, trying to figure out how AC capacity is definitely, um, bound", "topic": "leadership_engagement", "first_order_code": "need to figure out how junior capacity is allocated", "flagging_reason": "Softly raises a resource allocation problem as something 'we can improve.'", "confidence": 0.8}, {"quote_text": "But I think that's also due to that, um, some PLs were also focusing on a, how's it called, proposal, um, besides our case last week, so that took away some of their, um, time and, um, brain capacity.", "topic": "leadership_engagement", "first_order_code": "leaders distracted by proposal work outside the case", "flagging_reason": "Explains leadership coordination gaps as result of conflicting priorities, with mild justification.", "confidence": 0.85}]}</t>
  </si>
  <si>
    <t>But I think that's also due to that, um, some PLs were also focusing on a, how's it called, proposal, um, besides our case last week, so that took away some of their, um, time and, um, brain capacity.</t>
  </si>
  <si>
    <t>Explains leadership coordination gaps as result of conflicting priorities, with mild justification.</t>
  </si>
  <si>
    <t>leaders distracted by proposal work outside the case</t>
  </si>
  <si>
    <t>I think, um, structural-wise, I think we can, uh, make some improvements there, especially, um, um, trying to figure out how AC capacity is definitely, um, bound</t>
  </si>
  <si>
    <t>Softly raises a resource allocation problem as something 'we can improve.'</t>
  </si>
  <si>
    <t>need to figure out how junior capacity is allocated</t>
  </si>
  <si>
    <t>But also if I don't need to exit it, like also if I don't need to exit it, I need, like, clear, um, information that I'm further responsible for it. Because right now, I feel like there's a time delay building within, um, the core business process part of the module three, and I, I don't know who's responsible for it.</t>
  </si>
  <si>
    <t>Expresses concern about emerging delays caused by role confusion, hedged with 'I feel like.'</t>
  </si>
  <si>
    <t>not knowing who is responsible as delays build up</t>
  </si>
  <si>
    <t>I don't think that's, um, something we can improve by default, but what is happening is because, because of this, um, I guess, like, um, imbalance in working hours is that, um, we see, um, bad moods between the teams</t>
  </si>
  <si>
    <t>Acknowledges a problem but reframes it as outside the participant's control to solve.</t>
  </si>
  <si>
    <t>bad moods between teams that we can't fix ourselves</t>
  </si>
  <si>
    <t>I just believe, um, that is, um, creating two different sides where we're... in reality, we are one team, right? So we need to, mm, like, we need our leadership to focus on that because I don't believe A's and C's definit- like, feel that way. I think it's, um, more the leadership that has, um, to align in that regard.</t>
  </si>
  <si>
    <t>Redirects blame away from junior staff toward leadership level to explain team division.</t>
  </si>
  <si>
    <t>reframing team problem as a leadership alignment issue</t>
  </si>
  <si>
    <t>I think the, the mood between the finance team and the, um, renew team is, um, just a little bit off. Um, we noticed that the finance team works a lot longer.</t>
  </si>
  <si>
    <t>Identifies interpersonal friction between teams and softens it as 'a little bit off.'</t>
  </si>
  <si>
    <t>tension between teams due to imbalanced working hours</t>
  </si>
  <si>
    <t>I think what is unclear is, um, who owns what and when, um, a transfer of knowledge is happening. I think we wanted to, um, do that transfer by Wednesday last week. Now, like, that hasn't been possible.</t>
  </si>
  <si>
    <t>Surfaces after probing; describes a concrete failure in handoff planning.</t>
  </si>
  <si>
    <t>unclear ownership and missed knowledge transfer deadline</t>
  </si>
  <si>
    <t>I think what, what would make it actually stick is for, um, the PL to have the time to take over the responsibility, because right now I feel like she's doing a lot of things in parallel, and, um, there's like, uh, the responsibility overtake has not fully happened.</t>
  </si>
  <si>
    <t>Explains that a colleague's overload is blocking work transition, softened with 'I feel like.'</t>
  </si>
  <si>
    <t>handoff not happening because the PL is stretched too thin</t>
  </si>
  <si>
    <t>I'm not getting clear signals on when to, um, hand over, and whenever I get the clear signals, they are revoked. So I, I got the clear signal to stop after Wednesday, um, now that hasn't happened. I haven't gotten more information on that.</t>
  </si>
  <si>
    <t>Describes frustration with inconsistent direction from leadership causing role ambiguity.</t>
  </si>
  <si>
    <t>getting conflicting signals that keep getting revoked</t>
  </si>
  <si>
    <t>There's still no clear guidelines on how module three is, um, basically, like, split between groups, um, and also, um, PL capacity is pulled somewhere else sometimes, so it's hard to coordinate there because it's just, um, no, um, clear definition yet of, um, how we're moving forward.</t>
  </si>
  <si>
    <t>Describes an ongoing coordination problem caused by unclear role definitions.</t>
  </si>
  <si>
    <t>no clear guidelines on how work is split between groups</t>
  </si>
  <si>
    <t>a lot of, um, stuff is still my responsibility, and un- unless I give that to her, I cannot fully exit that, um, module.</t>
  </si>
  <si>
    <t>Describes being unable to transition out of a role due to unclear process.</t>
  </si>
  <si>
    <t>stuck holding responsibility because handoff hasn't completed</t>
  </si>
  <si>
    <t>it's, like, a little bit unim- inappropriate that, um, PLs are, um, like, making their, um... I don't know if their negative feelings hurt in teaming surveys and within their teams and not, mm, manage up between each other</t>
  </si>
  <si>
    <t>Criticizes leadership behavior but hedges with 'a little bit' and 'I don't know if.'</t>
  </si>
  <si>
    <t>leaders venting to teams instead of resolving issues peer-to-peer</t>
  </si>
  <si>
    <t>{"session_id": "8ab6fefd-2577-4bf9-ae3c-107490434cca", "quotes": [{"quote_text": "What could have been better is earlier management of tasks and maybe prioritizing earlier.", "topic": "overall_experience", "first_order_code": "tasks not managed or prioritized early enough", "flagging_reason": "Participant identifies a process problem in how work was organized.", "confidence": 0.9}, {"quote_text": "We could have been more ready earlier in the process.", "topic": "overall_experience", "first_order_code": "team not being ready early enough", "flagging_reason": "Participant points to a preparation gap, using collective language to soften individual blame.", "confidence": 0.85}, {"quote_text": "Not really sustainable. So, um, it was a bit too much to go over a long time, but for one or two weeks, it was fine.", "topic": "workload_sustainability", "first_order_code": "workload acceptable short-term but too much long-term", "flagging_reason": "Participant acknowledges unsustainability then immediately hedges by saying it was fine for a limited period.", "confidence": 0.95}, {"quote_text": "The stress and especially the longer hours and the result in lack of sleep.", "topic": "workload_sustainability", "first_order_code": "losing sleep due to stress and long hours", "flagging_reason": "Participant describes a concrete personal impact of workload intensity.", "confidence": 0.95}, {"quote_text": "Not really. The leadership was there, and they had the same problem.", "topic": "leadership_engagement", "first_order_code": "leadership had the same problem we did", "flagging_reason": "Participant reattributes a leadership issue to a shared constraint affecting everyone including leaders.", "confidence": 0.8}]}</t>
  </si>
  <si>
    <t>Not really. The leadership was there, and they had the same problem.</t>
  </si>
  <si>
    <t>Participant reattributes a leadership issue to a shared constraint affecting everyone including leaders.</t>
  </si>
  <si>
    <t>leadership had the same problem we did</t>
  </si>
  <si>
    <t>We could have been more ready earlier in the process.</t>
  </si>
  <si>
    <t>Participant points to a preparation gap, using collective language to soften individual blame.</t>
  </si>
  <si>
    <t>team not being ready early enough</t>
  </si>
  <si>
    <t>What could have been better is earlier management of tasks and maybe prioritizing earlier.</t>
  </si>
  <si>
    <t>Participant identifies a process problem in how work was organized.</t>
  </si>
  <si>
    <t>tasks not managed or prioritized early enough</t>
  </si>
  <si>
    <t>Not really sustainable. So, um, it was a bit too much to go over a long time, but for one or two weeks, it was fine.</t>
  </si>
  <si>
    <t>Participant acknowledges unsustainability then immediately hedges by saying it was fine for a limited period.</t>
  </si>
  <si>
    <t>workload acceptable short-term but too much long-term</t>
  </si>
  <si>
    <t>The stress and especially the longer hours and the result in lack of sleep.</t>
  </si>
  <si>
    <t>Participant describes a concrete personal impact of workload intensity.</t>
  </si>
  <si>
    <t>losing sleep due to stress and long hours</t>
  </si>
  <si>
    <t>{"session_id": "8c6ab851-cc04-4d49-8957-c2d20a4fbac9", "quotes": [{"quote_text": "workload was structurally, or has been structurally very, very different between the different streams, different workstreams on the case, with the finance stream working considerably longer hours than the other streams. Meaning, the finance stream was working until 2:00 to 3:00 in the morning every day since weeks. Whereas other streams manage to go home within PTO green areas, and they're going home without offering help.", "topic": "overall_experience", "first_order_code": "finance stream working until 2-3am while other streams leave early", "flagging_reason": "Describes a workload imbalance between teams where the participant's stream works extreme hours while others do not help.", "confidence": 0.95}, {"quote_text": "deadlines are often pulled forward, meaning when they're clear external deadlines committed to the client, sometimes, or very often, we send out pre-reads or pre-deliveries to board members, which then causes additional stress on the team and prevents effective prioritization, because those send-outs are often taking place rather unexpectedly.", "topic": "overall_experience", "first_order_code": "unexpected early send-outs preventing effective prioritization", "flagging_reason": "Identifies a recurring problem where unanticipated deadline changes create stress and planning difficulty.", "confidence": 0.9}, {"quote_text": "a huge part of the knowledge is siloed within the finance team, and also a big part of the skillset, of the technical and financial skillset. Is only persistent in the finance stream. And that makes it quite challenging to shift tasks.", "topic": "overall_experience", "first_order_code": "knowledge silos making it hard to redistribute work", "flagging_reason": "Explains a structural constraint that prevents workload balancing across teams.", "confidence": 0.85}, {"quote_text": "all the major deliveries, or usually major deliveries which are very important for the restructuring path, are usually done by the finance team or the finance stream. And most of the tasks which would be perceived very significantly, s- significantly and have to be successful from a restructuring point of view, are shifted towards project leader, Lucas Diederich, as he always gets the job done.", "topic": "overall_experience", "first_order_code": "critical tasks always landing with Lucas because he delivers", "flagging_reason": "Describes concentration of high-stakes work on one individual, implying uneven distribution and dependency.", "confidence": 0.88}, {"quote_text": "We are in a, of course, very volatile restructuring situation, meaning when we do the business plan or the financial planning, every euro counts, so meaning we have to be very careful. When making adjustments and making planning as cash is quite critical or cash availability is quite criti-critically. And that means we often navigate within a very small corridor on what's possible within the plan.", "topic": "overall_experience", "first_order_code": "navigating a very narrow planning corridor with no room for error", "flagging_reason": "Describes pressure and constraint created by tight margins in planning work.", "confidence": 0.82}, {"quote_text": "Probably it's not, prob- probably it's not realistic to, to make this more balanced.", "topic": "overall_experience", "first_order_code": "probably not realistic to balance the workload", "flagging_reason": "Self-limits or hedges the concern by suggesting the problem may be unsolvable.", "confidence": 0.9}, {"quote_text": "what would be important on leadership, ship level would be a guidance on how accurate the plan has to be and on how detailed the plan has to be. Looking into the plan, we are planning essentially 120 enti- enti- or 140 entities with a balance sheet and a P&amp;A granularity, um, which is beyond this world.", "topic": "overall_experience", "first_order_code": "needing leadership guidance on level of planning detail required", "flagging_reason": "Surfaces a leadership gap where excessive detail is being pursued without clear direction on what is necessary.", "confidence": 0.92}, {"quote_text": "We are making adjustments which go, which are very fine-tuned and detailed because we aim to depict the situation of the company perfectly. Um, plus we're planning, uh, more than 400 projects, which are also very volatile on its own and have considerable impact on, uh, cash constraints and thereon. And so meaning those two factors combined, um- create a level of detail, a level of depth and complexity of the plan, which is very hard to maintain.", "topic": "overall_experience", "first_order_code": "aiming for perfection creating unmanageable complexity", "flagging_reason": "Identifies a self-imposed standard that is making the workload unsustainable.", "confidence": 0.88}, {"quote_text": "at the end of the day, it's a plan. And at the end of the day, the plan is never gonna be accurate, yeah, because of the volatility of the business model of the client. Plan is gonna be outdated in weeks.", "topic": "overall_experience", "first_order_code": "plan will be outdated in weeks no matter what", "flagging_reason": "Expresses frustration that intensive effort produces ephemeral results due to external volatility.", "confidence": 0.85}, {"quote_text": "right now, we are very far on the end of finding a trade-off where we have a perfect plan with quite high workload. But on the other hand, we need to take into account that this plan is gonna be outdated quite soon because of the volatility of the business model of the client.", "topic": "overall_experience", "first_order_code": "pursuing perfect plan at cost of high workload despite futility", "flagging_reason": "Critiques the current work approach as imbalanced given the inevitable obsolescence of outputs.", "confidence": 0.9}, {"quote_text": "management decisions within the client are very volatile, meaning one day we plan a divestment case, we create every adjustment possible for that or needed for that in another plan, and then the day after, we have to revert it, and then the day after again, we have to shift it back. And this all creates a lot of workload, plus countless scenarios that we have to model", "topic": "overall_experience", "first_order_code": "client decisions changing daily forcing constant rework", "flagging_reason": "Describes external volatility creating repeated cycles of planning and reversing work.", "confidence": 0.92}, {"quote_text": "changing divestment decisions, which is not in the scope of our leadership, but in the scope of the client's board, makes planning quite challenging and is time-consuming.", "topic": "overall_experience", "first_order_code": "reframing workload issue as client board problem not leadership problem", "flagging_reason": "Reattributes a concern away from internal leadership to the client's board, softening internal accountability.", "confidence": 0.87}]}</t>
  </si>
  <si>
    <t>Probably it's not, prob- probably it's not realistic to, to make this more balanced.</t>
  </si>
  <si>
    <t>Self-limits or hedges the concern by suggesting the problem may be unsolvable.</t>
  </si>
  <si>
    <t>probably not realistic to balance the workload</t>
  </si>
  <si>
    <t>We are in a, of course, very volatile restructuring situation, meaning when we do the business plan or the financial planning, every euro counts, so meaning we have to be very careful. When making adjustments and making planning as cash is quite critical or cash availability is quite criti-critically. And that means we often navigate within a very small corridor on what's possible within the plan.</t>
  </si>
  <si>
    <t>Describes pressure and constraint created by tight margins in planning work.</t>
  </si>
  <si>
    <t>navigating a very narrow planning corridor with no room for error</t>
  </si>
  <si>
    <t>We are making adjustments which go, which are very fine-tuned and detailed because we aim to depict the situation of the company perfectly. Um, plus we're planning, uh, more than 400 projects, which are also very volatile on its own and have considerable impact on, uh, cash constraints and thereon. And so meaning those two factors combined, um- create a level of detail, a level of depth and complexity of the plan, which is very hard to maintain.</t>
  </si>
  <si>
    <t>Identifies a self-imposed standard that is making the workload unsustainable.</t>
  </si>
  <si>
    <t>aiming for perfection creating unmanageable complexity</t>
  </si>
  <si>
    <t>a huge part of the knowledge is siloed within the finance team, and also a big part of the skillset, of the technical and financial skillset. Is only persistent in the finance stream. And that makes it quite challenging to shift tasks.</t>
  </si>
  <si>
    <t>Explains a structural constraint that prevents workload balancing across teams.</t>
  </si>
  <si>
    <t>knowledge silos making it hard to redistribute work</t>
  </si>
  <si>
    <t>all the major deliveries, or usually major deliveries which are very important for the restructuring path, are usually done by the finance team or the finance stream. And most of the tasks which would be perceived very significantly, s- significantly and have to be successful from a restructuring point of view, are shifted towards project leader, Lucas Diederich, as he always gets the job done.</t>
  </si>
  <si>
    <t>Describes concentration of high-stakes work on one individual, implying uneven distribution and dependency.</t>
  </si>
  <si>
    <t>critical tasks always landing with Lucas because he delivers</t>
  </si>
  <si>
    <t>at the end of the day, it's a plan. And at the end of the day, the plan is never gonna be accurate, yeah, because of the volatility of the business model of the client. Plan is gonna be outdated in weeks.</t>
  </si>
  <si>
    <t>Expresses frustration that intensive effort produces ephemeral results due to external volatility.</t>
  </si>
  <si>
    <t>plan will be outdated in weeks no matter what</t>
  </si>
  <si>
    <t>changing divestment decisions, which is not in the scope of our leadership, but in the scope of the client's board, makes planning quite challenging and is time-consuming.</t>
  </si>
  <si>
    <t>Reattributes a concern away from internal leadership to the client's board, softening internal accountability.</t>
  </si>
  <si>
    <t>reframing workload issue as client board problem not leadership problem</t>
  </si>
  <si>
    <t>deadlines are often pulled forward, meaning when they're clear external deadlines committed to the client, sometimes, or very often, we send out pre-reads or pre-deliveries to board members, which then causes additional stress on the team and prevents effective prioritization, because those send-outs are often taking place rather unexpectedly.</t>
  </si>
  <si>
    <t>Identifies a recurring problem where unanticipated deadline changes create stress and planning difficulty.</t>
  </si>
  <si>
    <t>unexpected early send-outs preventing effective prioritization</t>
  </si>
  <si>
    <t>management decisions within the client are very volatile, meaning one day we plan a divestment case, we create every adjustment possible for that or needed for that in another plan, and then the day after, we have to revert it, and then the day after again, we have to shift it back. And this all creates a lot of workload, plus countless scenarios that we have to model</t>
  </si>
  <si>
    <t>Describes external volatility creating repeated cycles of planning and reversing work.</t>
  </si>
  <si>
    <t>client decisions changing daily forcing constant rework</t>
  </si>
  <si>
    <t>right now, we are very far on the end of finding a trade-off where we have a perfect plan with quite high workload. But on the other hand, we need to take into account that this plan is gonna be outdated quite soon because of the volatility of the business model of the client.</t>
  </si>
  <si>
    <t>Critiques the current work approach as imbalanced given the inevitable obsolescence of outputs.</t>
  </si>
  <si>
    <t>pursuing perfect plan at cost of high workload despite futility</t>
  </si>
  <si>
    <t>what would be important on leadership, ship level would be a guidance on how accurate the plan has to be and on how detailed the plan has to be. Looking into the plan, we are planning essentially 120 enti- enti- or 140 entities with a balance sheet and a P&amp;A granularity, um, which is beyond this world.</t>
  </si>
  <si>
    <t>Surfaces a leadership gap where excessive detail is being pursued without clear direction on what is necessary.</t>
  </si>
  <si>
    <t>needing leadership guidance on level of planning detail required</t>
  </si>
  <si>
    <t>workload was structurally, or has been structurally very, very different between the different streams, different workstreams on the case, with the finance stream working considerably longer hours than the other streams. Meaning, the finance stream was working until 2:00 to 3:00 in the morning every day since weeks. Whereas other streams manage to go home within PTO green areas, and they're going home without offering help.</t>
  </si>
  <si>
    <t>Describes a workload imbalance between teams where the participant's stream works extreme hours while others do not help.</t>
  </si>
  <si>
    <t>finance stream working until 2-3am while other streams leave early</t>
  </si>
  <si>
    <t>{"session_id": "8cfc6871-ee1d-4b55-9ed0-4dc21574c29f", "quotes": [{"quote_text": "due to so many people, we were... might have even been a bit overstaffed", "topic": "overall_experience", "first_order_code": "having too many people on the team this week", "flagging_reason": "Participant identifies a staffing imbalance as a potential problem, though softened with 'might have' and 'a bit'.", "confidence": 0.75}, {"quote_text": "we just work quite independently, so we didn't need the project lead that much", "topic": "overall_experience", "first_order_code": "not needing the project lead much during their absence", "flagging_reason": "Reveals low dependence on leader presence, which could indicate either autonomy or disengagement depending on context.", "confidence": 0.65}, {"quote_text": "I could get out of the office by 10:00 all nights except one", "topic": "workload_sustainability", "first_order_code": "leaving by 10pm most nights as a sign of manageable workload", "flagging_reason": "Participant frames 10pm departure as a positive marker of sustainability, revealing norm expectations around late hours.", "confidence": 0.85}, {"quote_text": "I'm not afraid to ask questions or understand things", "topic": "leadership_engagement", "first_order_code": "not being afraid to ask questions", "flagging_reason": "Framing lack of fear as a positive quality implies that fear of asking questions could be present in other contexts.", "confidence": 0.7}]}</t>
  </si>
  <si>
    <t>I'm not afraid to ask questions or understand things</t>
  </si>
  <si>
    <t>Framing lack of fear as a positive quality implies that fear of asking questions could be present in other contexts.</t>
  </si>
  <si>
    <t>not being afraid to ask questions</t>
  </si>
  <si>
    <t>due to so many people, we were... might have even been a bit overstaffed</t>
  </si>
  <si>
    <t>Participant identifies a staffing imbalance as a potential problem, though softened with 'might have' and 'a bit'.</t>
  </si>
  <si>
    <t>having too many people on the team this week</t>
  </si>
  <si>
    <t>we just work quite independently, so we didn't need the project lead that much</t>
  </si>
  <si>
    <t>Reveals low dependence on leader presence, which could indicate either autonomy or disengagement depending on context.</t>
  </si>
  <si>
    <t>not needing the project lead much during their absence</t>
  </si>
  <si>
    <t>I could get out of the office by 10:00 all nights except one</t>
  </si>
  <si>
    <t>Participant frames 10pm departure as a positive marker of sustainability, revealing norm expectations around late hours.</t>
  </si>
  <si>
    <t>leaving by 10pm most nights as a sign of manageable workload</t>
  </si>
  <si>
    <t>{"session_id": "8f11f2ae-b2b5-4b86-bef0-309928b7669b", "quotes": [{"quote_text": "Der Workload, der fluktuiert. Das ist mal mehr, das ist mal weniger, das können wir nicht ändern.", "topic": "overall_experience", "first_order_code": "workload fluctuates and cannot be changed", "flagging_reason": "Acknowledges a work constraint (fluctuating workload) while characterizing it as unavoidable.", "confidence": 0.75}, {"quote_text": "Nich alles von dem, was wir tun, hat direkten Client Impact.", "topic": "client_value", "first_order_code": "not everything we do has direct client impact", "flagging_reason": "Surfaces a concern about work relevance by reframing the question and noting that some work lacks direct client impact.", "confidence": 0.8}]}</t>
  </si>
  <si>
    <t>Nich alles von dem, was wir tun, hat direkten Client Impact.</t>
  </si>
  <si>
    <t>Surfaces a concern about work relevance by reframing the question and noting that some work lacks direct client impact.</t>
  </si>
  <si>
    <t>not everything we do has direct client impact</t>
  </si>
  <si>
    <t>Der Workload, der fluktuiert. Das ist mal mehr, das ist mal weniger, das können wir nicht ändern.</t>
  </si>
  <si>
    <t>Acknowledges a work constraint (fluctuating workload) while characterizing it as unavoidable.</t>
  </si>
  <si>
    <t>workload fluctuates and cannot be changed</t>
  </si>
  <si>
    <t>{"session_id": "92bf21b6-71a2-4860-8b31-2489c7d1179a", "quotes": [{"quote_text": "I was able to go home at around 9:00, 9:30 p.m., which is quite early in our case.", "topic": "workload_sustainability", "first_order_code": "9:30pm counting as an early finish", "flagging_reason": "Reveals normalized late working hours by framing 9:30pm as unusually early.", "confidence": 0.95}, {"quote_text": "we're pushing back on some topics the client wants us to do, um, because they are not, uh, useful or, uh, not manageable.", "topic": "client_value", "first_order_code": "refusing client requests that aren't useful or manageable", "flagging_reason": "Surfaces friction between client demands and team capacity or judgment of value.", "confidence": 0.85}]}</t>
  </si>
  <si>
    <t>we're pushing back on some topics the client wants us to do, um, because they are not, uh, useful or, uh, not manageable.</t>
  </si>
  <si>
    <t>Surfaces friction between client demands and team capacity or judgment of value.</t>
  </si>
  <si>
    <t>refusing client requests that aren't useful or manageable</t>
  </si>
  <si>
    <t>I was able to go home at around 9:00, 9:30 p.m., which is quite early in our case.</t>
  </si>
  <si>
    <t>Reveals normalized late working hours by framing 9:30pm as unusually early.</t>
  </si>
  <si>
    <t>9:30pm counting as an early finish</t>
  </si>
  <si>
    <t>{"session_id": "962fa1af-ae38-42fe-9bbc-7658f513b7df", "quotes": [{"quote_text": "I think just in general to respond to several requests, requests which are not necessarily, um, yeah, used to be our task. So I think we are really flexible in, helping the client wherever he needs help.", "topic": "client_value", "first_order_code": "responding to requests outside the team's usual scope", "flagging_reason": "Describes handling work beyond assigned tasks, which hints at scope expansion or boundary ambiguity as a mild friction point.", "confidence": 0.75}]}</t>
  </si>
  <si>
    <t>I think just in general to respond to several requests, requests which are not necessarily, um, yeah, used to be our task. So I think we are really flexible in, helping the client wherever he needs help.</t>
  </si>
  <si>
    <t>Describes handling work beyond assigned tasks, which hints at scope expansion or boundary ambiguity as a mild friction point.</t>
  </si>
  <si>
    <t>responding to requests outside the team's usual scope</t>
  </si>
  <si>
    <t>{"session_id": "97e6bc8e-a848-4462-afd0-01f630339ffb", "quotes": [{"quote_text": "I think even though you might not, might always not, you might sometimes work past, past, uh, 10:00 p.m. or so, um, it's, it's highly dependent on what the stress level during the day is, and I think we're pretty good on that.", "topic": "workload_sustainability", "first_order_code": "sometimes working past 10pm depending on daily stress", "flagging_reason": "Reveals occasional late working hours while softening it by saying they handle the stress well.", "confidence": 0.85}]}</t>
  </si>
  <si>
    <t>I think even though you might not, might always not, you might sometimes work past, past, uh, 10:00 p.m. or so, um, it's, it's highly dependent on what the stress level during the day is, and I think we're pretty good on that.</t>
  </si>
  <si>
    <t>Reveals occasional late working hours while softening it by saying they handle the stress well.</t>
  </si>
  <si>
    <t>sometimes working past 10pm depending on daily stress</t>
  </si>
  <si>
    <t>{"session_id": "9d5a57c6-5750-4534-983e-468bfc614b34", "quotes": [{"quote_text": "What could be improved would be, uh, a bit more of a, let's say, structured ordering process of food, so a bit more initiative there.", "topic": "overall_experience", "first_order_code": "wanting more initiative on structured food ordering", "flagging_reason": "Participant identifies a process gap and frames it as an improvement opportunity using softening language.", "confidence": 0.75}, {"quote_text": "I think no one really... Oh, that's not fair. I think that's too harsh. But I think, uh, we could have been, we could have designated one chief food officer.", "topic": "overall_experience", "first_order_code": "catching and softening a criticism mid-sentence", "flagging_reason": "Participant begins to voice a concern, immediately self-corrects and labels it as too harsh, then rephrases more gently.", "confidence": 0.9}, {"quote_text": "This week is tricky, uh, 'cause I feel like even though we are quite a lot of people, but, um, yeah, I think maybe better workload balancing is a kinda topic.", "topic": "workload_sustainability", "first_order_code": "needing better workload balancing despite team size", "flagging_reason": "Participant voices a workload concern with hedging language and minimizes it as just a topic to consider.", "confidence": 0.85}, {"quote_text": "Uh, just, uh, new team members first need to get onboarded before they can actually, uh, support.", "topic": "workload_sustainability", "first_order_code": "waiting for new members to onboard before getting help", "flagging_reason": "Participant explains a limitation affecting current workload by referencing the onboarding lag.", "confidence": 0.8}]}</t>
  </si>
  <si>
    <t>I think no one really... Oh, that's not fair. I think that's too harsh. But I think, uh, we could have been, we could have designated one chief food officer.</t>
  </si>
  <si>
    <t>Participant begins to voice a concern, immediately self-corrects and labels it as too harsh, then rephrases more gently.</t>
  </si>
  <si>
    <t>catching and softening a criticism mid-sentence</t>
  </si>
  <si>
    <t>What could be improved would be, uh, a bit more of a, let's say, structured ordering process of food, so a bit more initiative there.</t>
  </si>
  <si>
    <t>Participant identifies a process gap and frames it as an improvement opportunity using softening language.</t>
  </si>
  <si>
    <t>wanting more initiative on structured food ordering</t>
  </si>
  <si>
    <t>This week is tricky, uh, 'cause I feel like even though we are quite a lot of people, but, um, yeah, I think maybe better workload balancing is a kinda topic.</t>
  </si>
  <si>
    <t>Participant voices a workload concern with hedging language and minimizes it as just a topic to consider.</t>
  </si>
  <si>
    <t>needing better workload balancing despite team size</t>
  </si>
  <si>
    <t>Uh, just, uh, new team members first need to get onboarded before they can actually, uh, support.</t>
  </si>
  <si>
    <t>Participant explains a limitation affecting current workload by referencing the onboarding lag.</t>
  </si>
  <si>
    <t>waiting for new members to onboard before getting help</t>
  </si>
  <si>
    <t>{"session_id": "ace645fe-acd0-427b-a9cb-9bddedd54633", "quotes": [{"quote_text": "Actually, not as much as usually because we didn't have so many team checkouts in the whole group because it was really stressful.", "topic": "leadership_engagement", "first_order_code": "fewer team meetings than normal due to stress", "flagging_reason": "Identifies a reduction in team communication as a consequence of high pressure conditions.", "confidence": 0.85}, {"quote_text": "That's why I didn't have such a good overview on the other workstreams as I usually have, but I think it was totally understandable, um, as it was really stressful for them.", "topic": "leadership_engagement", "first_order_code": "losing visibility into other workstreams but justifying it by their stress", "flagging_reason": "Reports a negative consequence (loss of overview) but immediately minimizes it by attributing to understandable stress, showing self-blame deflection.", "confidence": 0.9}]}</t>
  </si>
  <si>
    <t>Actually, not as much as usually because we didn't have so many team checkouts in the whole group because it was really stressful.</t>
  </si>
  <si>
    <t>Identifies a reduction in team communication as a consequence of high pressure conditions.</t>
  </si>
  <si>
    <t>fewer team meetings than normal due to stress</t>
  </si>
  <si>
    <t>That's why I didn't have such a good overview on the other workstreams as I usually have, but I think it was totally understandable, um, as it was really stressful for them.</t>
  </si>
  <si>
    <t>Reports a negative consequence (loss of overview) but immediately minimizes it by attributing to understandable stress, showing self-blame deflection.</t>
  </si>
  <si>
    <t>losing visibility into other workstreams but justifying it by their stress</t>
  </si>
  <si>
    <t>{"session_id": "b0303ecd-8731-4419-8f72-8c6bd078f68c", "quotes": [{"quote_text": "however, it was quite busy for me work-wise and a bit more unpredictable with, um, some requests coming in more late minutes, last minute", "topic": "overall_experience", "first_order_code": "last-minute client requests making the week unpredictable", "flagging_reason": "Signals a work friction around unpredictability and late requests, softened by framing it as characteristic of the job.", "confidence": 0.85}, {"quote_text": "some, um, of the people I was working with being a bit more, um, like on the fly and, and... Well, demanding is not the word, 'cause that's the nature of our job, but it was a bit more ad hoc, so to say", "topic": "overall_experience", "first_order_code": "downplaying 'demanding' as just the nature of the job", "flagging_reason": "Uses self-correction and hedging to minimize a concern about demanding behavior from people they worked with.", "confidence": 0.9}, {"quote_text": "No, it was client-side. I think internally on the team, we're all good, so, um, nothing to blame on the team there.", "topic": "overall_experience", "first_order_code": "reattributing problem to client-side not the team", "flagging_reason": "Explicitly redirects attribution of the unpredictability issue away from internal team members toward the client.", "confidence": 0.95}, {"quote_text": "I would say very well, maybe even to the extent that we, um, don't have a lot of capacity to work on, um, uh, improving our internal value.", "topic": "client_value", "first_order_code": "doing client work so well there's no capacity for internal improvement", "flagging_reason": "Positive framing that reveals a capacity constraint—too focused on client delivery to invest in internal development.", "confidence": 0.88}, {"quote_text": "one of our goals would be to protect capacity to work on things that are not client-related", "topic": "client_value", "first_order_code": "needing to protect time for non-client work", "flagging_reason": "Frames an unmet goal as something to aspire to, implying current imbalance in capacity allocation.", "confidence": 0.82}, {"quote_text": "Higher up in the P level, not so much, but I do not think that is a problem.", "topic": "leadership_engagement", "first_order_code": "partner-level not very visible but that's okay", "flagging_reason": "States a limitation in senior leadership visibility but immediately minimizes it as not being a problem.", "confidence": 0.8}]}</t>
  </si>
  <si>
    <t>I would say very well, maybe even to the extent that we, um, don't have a lot of capacity to work on, um, uh, improving our internal value.</t>
  </si>
  <si>
    <t>Positive framing that reveals a capacity constraint—too focused on client delivery to invest in internal development.</t>
  </si>
  <si>
    <t>doing client work so well there's no capacity for internal improvement</t>
  </si>
  <si>
    <t>one of our goals would be to protect capacity to work on things that are not client-related</t>
  </si>
  <si>
    <t>Frames an unmet goal as something to aspire to, implying current imbalance in capacity allocation.</t>
  </si>
  <si>
    <t>needing to protect time for non-client work</t>
  </si>
  <si>
    <t>Higher up in the P level, not so much, but I do not think that is a problem.</t>
  </si>
  <si>
    <t>States a limitation in senior leadership visibility but immediately minimizes it as not being a problem.</t>
  </si>
  <si>
    <t>partner-level not very visible but that's okay</t>
  </si>
  <si>
    <t>No, it was client-side. I think internally on the team, we're all good, so, um, nothing to blame on the team there.</t>
  </si>
  <si>
    <t>Explicitly redirects attribution of the unpredictability issue away from internal team members toward the client.</t>
  </si>
  <si>
    <t>reattributing problem to client-side not the team</t>
  </si>
  <si>
    <t>however, it was quite busy for me work-wise and a bit more unpredictable with, um, some requests coming in more late minutes, last minute</t>
  </si>
  <si>
    <t>Signals a work friction around unpredictability and late requests, softened by framing it as characteristic of the job.</t>
  </si>
  <si>
    <t>last-minute client requests making the week unpredictable</t>
  </si>
  <si>
    <t>some, um, of the people I was working with being a bit more, um, like on the fly and, and... Well, demanding is not the word, 'cause that's the nature of our job, but it was a bit more ad hoc, so to say</t>
  </si>
  <si>
    <t>Uses self-correction and hedging to minimize a concern about demanding behavior from people they worked with.</t>
  </si>
  <si>
    <t>downplaying 'demanding' as just the nature of the job</t>
  </si>
  <si>
    <t>{"session_id": "b634e513-cc74-4d0d-b905-395db5f7a20c", "quotes": [{"quote_text": "I think the only challenge I see from last week was the limited AC capacity, but I think it is resolved for this week.", "topic": "overall_experience", "first_order_code": "limited capacity last week due to staffing", "flagging_reason": "Participant identifies a resource constraint as a challenge, then immediately softens it by saying it's resolved.", "confidence": 0.85}, {"quote_text": "Unfortunately, we had some sick leave colleagues and also the request for similar, but still we didn't have additional capacity for last week.", "topic": "overall_experience", "first_order_code": "no extra capacity despite sick leave and requests", "flagging_reason": "Describes a staffing problem where demand exceeded available resources during the previous week.", "confidence": 0.9}, {"quote_text": "I wouldn't say it's a question of team management. It's a higher challenge, let's say.", "topic": "overall_experience", "first_order_code": "reframing capacity issue as higher-level not management", "flagging_reason": "Participant explicitly redirects attribution of the capacity problem away from team management to a systemic level.", "confidence": 0.95}, {"quote_text": "I had a conference presentation this week. So due to that one, on Friday and Thursday evening, it was really hard for me, but it is a non-case commitment.", "topic": "workload_sustainability", "first_order_code": "Thursday and Friday evenings hard due to conference presentation", "flagging_reason": "Describes difficulty managing evening work during the week, then minimizes it by categorizing the commitment as non-case related.", "confidence": 0.8}]}</t>
  </si>
  <si>
    <t>I think the only challenge I see from last week was the limited AC capacity, but I think it is resolved for this week.</t>
  </si>
  <si>
    <t>Participant identifies a resource constraint as a challenge, then immediately softens it by saying it's resolved.</t>
  </si>
  <si>
    <t>limited capacity last week due to staffing</t>
  </si>
  <si>
    <t>I wouldn't say it's a question of team management. It's a higher challenge, let's say.</t>
  </si>
  <si>
    <t>Participant explicitly redirects attribution of the capacity problem away from team management to a systemic level.</t>
  </si>
  <si>
    <t>reframing capacity issue as higher-level not management</t>
  </si>
  <si>
    <t>Unfortunately, we had some sick leave colleagues and also the request for similar, but still we didn't have additional capacity for last week.</t>
  </si>
  <si>
    <t>Describes a staffing problem where demand exceeded available resources during the previous week.</t>
  </si>
  <si>
    <t>no extra capacity despite sick leave and requests</t>
  </si>
  <si>
    <t>I had a conference presentation this week. So due to that one, on Friday and Thursday evening, it was really hard for me, but it is a non-case commitment.</t>
  </si>
  <si>
    <t>Describes difficulty managing evening work during the week, then minimizes it by categorizing the commitment as non-case related.</t>
  </si>
  <si>
    <t>Thursday and Friday evenings hard due to conference presentation</t>
  </si>
  <si>
    <t>{"session_id": "b778fde3-85f7-4570-8721-7b38cde51e16", "quotes": [{"quote_text": "The thing that could definitely be improved is the working hours, how we set deadlines as a team, or, like, how our leadership sets deadlines for us, um, and how we distribute work across workstreams.", "topic": "overall_experience", "first_order_code": "leadership setting unsustainable deadlines and poor work distribution", "flagging_reason": "Participant identifies problems with leadership-set deadlines and workstream distribution, framed as needing improvement.", "confidence": 0.95}, {"quote_text": "I think it happens somewhat naturally in this case because we all know how tough, uh, the workload's been on everyone, so we try and support each other through this time.", "topic": "overall_experience", "first_order_code": "mutual support emerging because workload is tough on everyone", "flagging_reason": "Surfaces workload difficulty as background context for team behavior, acknowledging shared strain.", "confidence": 0.85}, {"quote_text": "It has not been sustainable at all.", "topic": "workload_sustainability", "first_order_code": "workload completely unsustainable", "flagging_reason": "Direct, unqualified statement of a serious work problem.", "confidence": 1.0}, {"quote_text": "That we're constantly tired, um, don't get to do any kind of, like, balancing activities like sports or something like that, but we just tend to work super late hours until, like, 2:00 or 3:00 AM regularly.", "topic": "workload_sustainability", "first_order_code": "constantly tired and working until 2-3 AM with no time for life balance", "flagging_reason": "Describes concrete impact of workload on health and personal life with specific extreme hours.", "confidence": 1.0}, {"quote_text": "Uh, we work weekends just to take some pressure off, off the week, out of the week itself, uh, but that typically doesn't help because there's always more to do.", "topic": "workload_sustainability", "first_order_code": "working weekends to catch up but it never helps", "flagging_reason": "Reveals a coping strategy that fails, indicating unmanageable workload volume.", "confidence": 0.95}, {"quote_text": "Um, and I don't think this could ever be sustainable over s-longer periods of time, as in this type of work, or, like, these type of working hours.", "topic": "workload_sustainability", "first_order_code": "hours impossible to sustain long-term", "flagging_reason": "Participant expresses concern about future viability of current work conditions.", "confidence": 0.9}, {"quote_text": "That our team is not large enough for the scope that we need to manage, uh, in the financial steering t- or PMO team", "topic": "workload_sustainability", "first_order_code": "team too small for the scope of work", "flagging_reason": "Identifies structural staffing problem as root cause of workload issues.", "confidence": 0.95}, {"quote_text": "uh, that we face loads of additional client requests that we somehow need to manage", "topic": "workload_sustainability", "first_order_code": "managing loads of additional client requests on top of planned work", "flagging_reason": "Points to uncontrolled scope creep as a pressure point, with 'somehow' suggesting strain.", "confidence": 0.9}, {"quote_text": "um, that we do not have a particularly reliable project timeline, but deadlines tend to get shifted around", "topic": "workload_sustainability", "first_order_code": "unreliable timeline with constantly shifting deadlines", "flagging_reason": "Identifies unpredictability and instability in project planning as a friction point.", "confidence": 0.95}, {"quote_text": "and that we're doing vastly complex or very complextasks at times where it's hard to predict in advance how long it would take to do a given thing, and that also makes communication and expectation management diffi- difficult.", "topic": "workload_sustainability", "first_order_code": "task complexity making it hard to predict effort and manage expectations", "flagging_reason": "Describes difficulty in planning and communicating due to work complexity, a subtle process concern.", "confidence": 0.85}, {"quote_text": "Um, but we, given the tight deadlines that we work towards, we don't have a whole lot of wiggle room to set our priorities ourselves, but rather have to deliver on short-term requests.", "topic": "client_value", "first_order_code": "no room to set own priorities due to tight deadlines and short-term demands", "flagging_reason": "Reveals lack of autonomy and reactive posture driven by deadline pressure.", "confidence": 0.9}, {"quote_text": "I don't know.", "topic": "client_value", "first_order_code": "unable to answer how team balances priorities", "flagging_reason": "Participant cannot answer a direct question about team priorities after a repeat request, suggesting lack of clarity or willingness to elaborate.", "confidence": 0.7}, {"quote_text": "Senior leadership, not particularly visibly. Um, we did have a teaming discussion.Um, but, um, in general, the visibility and, uh, actionable responses to our teaming surveys, uh, is quite limited.", "topic": "leadership_engagement", "first_order_code": "senior leadership not visible and survey responses rarely actionable", "flagging_reason": "Criticizes leadership absence and lack of follow-through on team feedback mechanisms.", "confidence": 0.95}, {"quote_text": "I think, uh, leadership that is more attentive to the volume and amount of, and complexity of work we need to manage. So, like a leadership that is more closely involved with our day-to-day, uh, doing, so that they can better estimate how much effort we, um, face on a daily basis, and that they can manage client requests more appropriately when it comes to balancing betweenwhat the client demands and what the team needs or is even capable of delivering in a given timeframe.", "topic": "leadership_engagement", "first_order_code": "need leadership closer to daily work to understand effort and protect team capacity", "flagging_reason": "Expresses need for leadership to be more present and protective of team limits versus client demands.", "confidence": 0.95}, {"quote_text": "I think it's important to notice that, um, what we're currently talking about in terms of late working hours is not a, a temporary thing, but we have faced regular 2:00 to 3:00 AM morning sessions for weeks and months now actually, um, without a clear end in sight.", "topic": "closing", "first_order_code": "extreme hours ongoing for months with no end in sight", "flagging_reason": "Participant emphasizes duration and persistence of the problem, escalating concern in the closing.", "confidence": 1.0}, {"quote_text": "Uh, I know there is a big deliverable coming up that we are working towards, but I don't think the pressure will get significantly less afterwards.", "topic": "closing", "first_order_code": "expecting pressure to continue even after the big deliverable", "flagging_reason": "Participant contradicts the hope that a milestone will relieve pressure, showing pessimism about future improvement.", "confidence": 0.95}, {"quote_text": "So, we really need to address the working hours andteaming component of this project more, way more actively, um, because this is not sustainable, and still it has been going on for months now.", "topic": "closing", "first_order_code": "urgent need to address hours and teaming because it's unsustainable yet ongoing", "flagging_reason": "Final statement escalates to urgent language and repeats unsustainability concern, signaling seriousness.", "confidence": 1.0}]}</t>
  </si>
  <si>
    <t>Participant cannot answer a direct question about team priorities after a repeat request, suggesting lack of clarity or willingness to elaborate.</t>
  </si>
  <si>
    <t>unable to answer how team balances priorities</t>
  </si>
  <si>
    <t>Um, but we, given the tight deadlines that we work towards, we don't have a whole lot of wiggle room to set our priorities ourselves, but rather have to deliver on short-term requests.</t>
  </si>
  <si>
    <t>Reveals lack of autonomy and reactive posture driven by deadline pressure.</t>
  </si>
  <si>
    <t>no room to set own priorities due to tight deadlines and short-term demands</t>
  </si>
  <si>
    <t>I think it's important to notice that, um, what we're currently talking about in terms of late working hours is not a, a temporary thing, but we have faced regular 2:00 to 3:00 AM morning sessions for weeks and months now actually, um, without a clear end in sight.</t>
  </si>
  <si>
    <t>Participant emphasizes duration and persistence of the problem, escalating concern in the closing.</t>
  </si>
  <si>
    <t>extreme hours ongoing for months with no end in sight</t>
  </si>
  <si>
    <t>So, we really need to address the working hours andteaming component of this project more, way more actively, um, because this is not sustainable, and still it has been going on for months now.</t>
  </si>
  <si>
    <t>Final statement escalates to urgent language and repeats unsustainability concern, signaling seriousness.</t>
  </si>
  <si>
    <t>urgent need to address hours and teaming because it's unsustainable yet ongoing</t>
  </si>
  <si>
    <t>Uh, I know there is a big deliverable coming up that we are working towards, but I don't think the pressure will get significantly less afterwards.</t>
  </si>
  <si>
    <t>Participant contradicts the hope that a milestone will relieve pressure, showing pessimism about future improvement.</t>
  </si>
  <si>
    <t>expecting pressure to continue even after the big deliverable</t>
  </si>
  <si>
    <t>I think, uh, leadership that is more attentive to the volume and amount of, and complexity of work we need to manage. So, like a leadership that is more closely involved with our day-to-day, uh, doing, so that they can better estimate how much effort we, um, face on a daily basis, and that they can manage client requests more appropriately when it comes to balancing betweenwhat the client demands and what the team needs or is even capable of delivering in a given timeframe.</t>
  </si>
  <si>
    <t>Expresses need for leadership to be more present and protective of team limits versus client demands.</t>
  </si>
  <si>
    <t>need leadership closer to daily work to understand effort and protect team capacity</t>
  </si>
  <si>
    <t>Senior leadership, not particularly visibly. Um, we did have a teaming discussion.Um, but, um, in general, the visibility and, uh, actionable responses to our teaming surveys, uh, is quite limited.</t>
  </si>
  <si>
    <t>Criticizes leadership absence and lack of follow-through on team feedback mechanisms.</t>
  </si>
  <si>
    <t>senior leadership not visible and survey responses rarely actionable</t>
  </si>
  <si>
    <t>I think it happens somewhat naturally in this case because we all know how tough, uh, the workload's been on everyone, so we try and support each other through this time.</t>
  </si>
  <si>
    <t>Surfaces workload difficulty as background context for team behavior, acknowledging shared strain.</t>
  </si>
  <si>
    <t>mutual support emerging because workload is tough on everyone</t>
  </si>
  <si>
    <t>The thing that could definitely be improved is the working hours, how we set deadlines as a team, or, like, how our leadership sets deadlines for us, um, and how we distribute work across workstreams.</t>
  </si>
  <si>
    <t>Participant identifies problems with leadership-set deadlines and workstream distribution, framed as needing improvement.</t>
  </si>
  <si>
    <t>leadership setting unsustainable deadlines and poor work distribution</t>
  </si>
  <si>
    <t>It has not been sustainable at all.</t>
  </si>
  <si>
    <t>Direct, unqualified statement of a serious work problem.</t>
  </si>
  <si>
    <t>workload completely unsustainable</t>
  </si>
  <si>
    <t>That our team is not large enough for the scope that we need to manage, uh, in the financial steering t- or PMO team</t>
  </si>
  <si>
    <t>Identifies structural staffing problem as root cause of workload issues.</t>
  </si>
  <si>
    <t>team too small for the scope of work</t>
  </si>
  <si>
    <t>That we're constantly tired, um, don't get to do any kind of, like, balancing activities like sports or something like that, but we just tend to work super late hours until, like, 2:00 or 3:00 AM regularly.</t>
  </si>
  <si>
    <t>Describes concrete impact of workload on health and personal life with specific extreme hours.</t>
  </si>
  <si>
    <t>constantly tired and working until 2-3 AM with no time for life balance</t>
  </si>
  <si>
    <t>Uh, we work weekends just to take some pressure off, off the week, out of the week itself, uh, but that typically doesn't help because there's always more to do.</t>
  </si>
  <si>
    <t>Reveals a coping strategy that fails, indicating unmanageable workload volume.</t>
  </si>
  <si>
    <t>working weekends to catch up but it never helps</t>
  </si>
  <si>
    <t>Um, and I don't think this could ever be sustainable over s-longer periods of time, as in this type of work, or, like, these type of working hours.</t>
  </si>
  <si>
    <t>Participant expresses concern about future viability of current work conditions.</t>
  </si>
  <si>
    <t>hours impossible to sustain long-term</t>
  </si>
  <si>
    <t>and that we're doing vastly complex or very complextasks at times where it's hard to predict in advance how long it would take to do a given thing, and that also makes communication and expectation management diffi- difficult.</t>
  </si>
  <si>
    <t>Describes difficulty in planning and communicating due to work complexity, a subtle process concern.</t>
  </si>
  <si>
    <t>task complexity making it hard to predict effort and manage expectations</t>
  </si>
  <si>
    <t>uh, that we face loads of additional client requests that we somehow need to manage</t>
  </si>
  <si>
    <t>Points to uncontrolled scope creep as a pressure point, with 'somehow' suggesting strain.</t>
  </si>
  <si>
    <t>managing loads of additional client requests on top of planned work</t>
  </si>
  <si>
    <t>um, that we do not have a particularly reliable project timeline, but deadlines tend to get shifted around</t>
  </si>
  <si>
    <t>Identifies unpredictability and instability in project planning as a friction point.</t>
  </si>
  <si>
    <t>unreliable timeline with constantly shifting deadlines</t>
  </si>
  <si>
    <t>{"session_id": "be378487-ec9c-427a-b475-5e62c4f18ed3", "quotes": [{"quote_text": "I had many non-case commitments, so therefore, it was not the easiest last week.", "topic": "workload_sustainability", "first_order_code": "juggling non-case commitments made the week difficult", "flagging_reason": "Participant describes a workload friction but immediately softens it by noting team support.", "confidence": 0.85}, {"quote_text": "Sometimes we receive just ill formed prompts and requests from proposal teams.", "topic": "client_value", "first_order_code": "receiving poorly formed requests from proposal teams", "flagging_reason": "Participant identifies a recurring friction with input quality from internal colleagues.", "confidence": 0.9}, {"quote_text": "From the sponsors, for example, the principals and the MDPs were not that active last week, but I think we manage it, so... And we know that they are really overwhelmed this time of the year.", "topic": "leadership_engagement", "first_order_code": "senior leaders not active but we understand they're overwhelmed", "flagging_reason": "Participant raises a leadership engagement gap but immediately reattributes it to external pressures and minimizes the concern.", "confidence": 0.9}, {"quote_text": "We should align with the case team management because the decision and final responsibility will be on their shoulders. So, we should discuss these topics as soon as possible.", "topic": "leadership_engagement", "first_order_code": "needing to align with case team management urgently on decisions", "flagging_reason": "Participant surfaces only after a probe that there is an unresolved coordination need that requires prompt attention.", "confidence": 0.75}]}</t>
  </si>
  <si>
    <t>Sometimes we receive just ill formed prompts and requests from proposal teams.</t>
  </si>
  <si>
    <t>Participant identifies a recurring friction with input quality from internal colleagues.</t>
  </si>
  <si>
    <t>receiving poorly formed requests from proposal teams</t>
  </si>
  <si>
    <t>From the sponsors, for example, the principals and the MDPs were not that active last week, but I think we manage it, so... And we know that they are really overwhelmed this time of the year.</t>
  </si>
  <si>
    <t>Participant raises a leadership engagement gap but immediately reattributes it to external pressures and minimizes the concern.</t>
  </si>
  <si>
    <t>senior leaders not active but we understand they're overwhelmed</t>
  </si>
  <si>
    <t>We should align with the case team management because the decision and final responsibility will be on their shoulders. So, we should discuss these topics as soon as possible.</t>
  </si>
  <si>
    <t>Participant surfaces only after a probe that there is an unresolved coordination need that requires prompt attention.</t>
  </si>
  <si>
    <t>needing to align with case team management urgently on decisions</t>
  </si>
  <si>
    <t>I had many non-case commitments, so therefore, it was not the easiest last week.</t>
  </si>
  <si>
    <t>Participant describes a workload friction but immediately softens it by noting team support.</t>
  </si>
  <si>
    <t>juggling non-case commitments made the week difficult</t>
  </si>
  <si>
    <t>{"session_id": "c01ba93f-916a-40bf-9351-251d742e666a", "quotes": [{"quote_text": "the only thing that could be improved is that sometimes we tend to get a lot of tasks from the client in the evening, and they are expected to be finished by the next morning or by next noon. And so sometimes we do have to work, like, a bit longer than we should just because of that.", "topic": "overall_experience", "first_order_code": "working longer than we should because tasks come in the evening", "flagging_reason": "Participant identifies a recurring workload problem that causes overwork, while minimizing it as 'the only thing' that could be improved.", "confidence": 0.95}, {"quote_text": "It's not necessarily the urgency, but it's more like a pattern that tasks always, or very often, come in the evening, and then in the next morning, the next task comes.", "topic": "overall_experience", "first_order_code": "reframing late tasks as a pattern rather than urgency", "flagging_reason": "Participant clarifies and softens the concern by attributing it to a recurring pattern rather than client urgency.", "confidence": 0.85}, {"quote_text": "we have to, uh, make sure that we complete already some of the tasks that, that we receive in the evening to make sure that in the next morning, it doesn't become too stressful or it stays, um, manageable.", "topic": "overall_experience", "first_order_code": "finishing evening tasks to prevent next morning from becoming too stressful", "flagging_reason": "Reveals proactive overwork to avoid anticipated stress, indicating a workload management friction.", "confidence": 0.9}, {"quote_text": "In my module, engagement has not been extremely high, but it's also not necessary.", "topic": "leadership_engagement", "first_order_code": "leadership engagement not extremely high but also not necessary", "flagging_reason": "Participant acknowledges low leadership engagement but immediately reframes it as acceptable, suggesting potential concern mitigation.", "confidence": 0.8}]}</t>
  </si>
  <si>
    <t>In my module, engagement has not been extremely high, but it's also not necessary.</t>
  </si>
  <si>
    <t>Participant acknowledges low leadership engagement but immediately reframes it as acceptable, suggesting potential concern mitigation.</t>
  </si>
  <si>
    <t>leadership engagement not extremely high but also not necessary</t>
  </si>
  <si>
    <t>It's not necessarily the urgency, but it's more like a pattern that tasks always, or very often, come in the evening, and then in the next morning, the next task comes.</t>
  </si>
  <si>
    <t>Participant clarifies and softens the concern by attributing it to a recurring pattern rather than client urgency.</t>
  </si>
  <si>
    <t>reframing late tasks as a pattern rather than urgency</t>
  </si>
  <si>
    <t>the only thing that could be improved is that sometimes we tend to get a lot of tasks from the client in the evening, and they are expected to be finished by the next morning or by next noon. And so sometimes we do have to work, like, a bit longer than we should just because of that.</t>
  </si>
  <si>
    <t>Participant identifies a recurring workload problem that causes overwork, while minimizing it as 'the only thing' that could be improved.</t>
  </si>
  <si>
    <t>working longer than we should because tasks come in the evening</t>
  </si>
  <si>
    <t>we have to, uh, make sure that we complete already some of the tasks that, that we receive in the evening to make sure that in the next morning, it doesn't become too stressful or it stays, um, manageable.</t>
  </si>
  <si>
    <t>Reveals proactive overwork to avoid anticipated stress, indicating a workload management friction.</t>
  </si>
  <si>
    <t>finishing evening tasks to prevent next morning from becoming too stressful</t>
  </si>
  <si>
    <t>{"session_id": "c1820d00-1fdc-465c-a23c-b75c2ef9f25a", "quotes": [{"quote_text": "I think sometimes on the side where we could improve is to really make everyone feel 100% included and very much relevant on how to bring that forward. But please don't bring it too harsh in wording.", "topic": "overall_experience", "first_order_code": "asking the AI to soften how it reports the concern", "flagging_reason": "The participant expresses a team inclusion concern but immediately asks the AI agent to moderate how it is conveyed, suggesting wariness about how the disclosure will be passed on.", "confidence": 0.95}, {"quote_text": "I think it's more of a sentiment than rather very much specific actions that I would like to highlight. But as I said, please, that's a very critical topic. Please don't highlight that too much.", "topic": "overall_experience", "first_order_code": "minimizing the concern and pleading not to highlight it", "flagging_reason": "The participant frames the inclusion issue as vague sentiment rather than specific actions, then explicitly asks the AI not to emphasize it, revealing active concern about disclosure consequences.", "confidence": 0.98}, {"quote_text": "It was a challenging week. Wasn't an easy one. But yeah, we kind of still finished work in a window that is feasible to get there.", "topic": "workload_sustainability", "first_order_code": "softening a difficult week by saying it was still feasible", "flagging_reason": "The participant acknowledges the week was challenging and difficult, then immediately hedges by reframing it as ultimately feasible, dampening the concern.", "confidence": 0.85}]}</t>
  </si>
  <si>
    <t>I think it's more of a sentiment than rather very much specific actions that I would like to highlight. But as I said, please, that's a very critical topic. Please don't highlight that too much.</t>
  </si>
  <si>
    <t>The participant frames the inclusion issue as vague sentiment rather than specific actions, then explicitly asks the AI not to emphasize it, revealing active concern about disclosure consequences.</t>
  </si>
  <si>
    <t>minimizing the concern and pleading not to highlight it</t>
  </si>
  <si>
    <t>I think sometimes on the side where we could improve is to really make everyone feel 100% included and very much relevant on how to bring that forward. But please don't bring it too harsh in wording.</t>
  </si>
  <si>
    <t>The participant expresses a team inclusion concern but immediately asks the AI agent to moderate how it is conveyed, suggesting wariness about how the disclosure will be passed on.</t>
  </si>
  <si>
    <t>asking the AI to soften how it reports the concern</t>
  </si>
  <si>
    <t>It was a challenging week. Wasn't an easy one. But yeah, we kind of still finished work in a window that is feasible to get there.</t>
  </si>
  <si>
    <t>The participant acknowledges the week was challenging and difficult, then immediately hedges by reframing it as ultimately feasible, dampening the concern.</t>
  </si>
  <si>
    <t>softening a difficult week by saying it was still feasible</t>
  </si>
  <si>
    <t>{"session_id": "c846a9ee-226e-4e0f-9278-106797086249", "quotes": [{"quote_text": "it went a bit longer from time to time", "topic": "overall_experience", "first_order_code": "working longer hours on some days", "flagging_reason": "Participant discloses extended work hours while describing a shortened week as otherwise positive.", "confidence": 0.85}, {"quote_text": "I think we still managed to cram in the work in there. It went a bit longer from time to time, but more or less was a good, right week.", "topic": "overall_experience", "first_order_code": "cramming five days of work into four", "flagging_reason": "Participant reveals workload compression softened by positive framing that it was still a good week.", "confidence": 0.9}, {"quote_text": "it was not the most sustainable week. It went a bit longer from time to time, but it was as expected.", "topic": "workload_sustainability", "first_order_code": "expecting the week to be unsustainable", "flagging_reason": "Participant acknowledges lack of sustainability but normalizes it by saying it was expected.", "confidence": 0.95}, {"quote_text": "I think not per se sustainable, but long-term, definitely sustainable.", "topic": "workload_sustainability", "first_order_code": "reframing short-term unsustainability as long-term sustainable", "flagging_reason": "Participant qualifies a sustainability concern by distinguishing immediate pressure from overall pattern.", "confidence": 0.88}, {"quote_text": "there will be tough days coming up, but that's part of the job", "topic": "workload_sustainability", "first_order_code": "tough days ahead are just part of the job", "flagging_reason": "Participant anticipates difficult workload but normalizes it as an inherent aspect of the role.", "confidence": 0.82}, {"quote_text": "Sometimes it's a bit hectic or a bit unpredictable, the work that we do, because there's things happening outside of our influence and outside of our knowledge", "topic": "client_value", "first_order_code": "work becomes unpredictable due to things outside our control", "flagging_reason": "Participant describes friction caused by external factors that create hectic and unpredictable conditions.", "confidence": 0.9}, {"quote_text": "some things spring up that we need to do then", "topic": "client_value", "first_order_code": "unexpected tasks suddenly appearing", "flagging_reason": "Participant discloses reactive work pressures that arise without warning.", "confidence": 0.78}]}</t>
  </si>
  <si>
    <t>Sometimes it's a bit hectic or a bit unpredictable, the work that we do, because there's things happening outside of our influence and outside of our knowledge</t>
  </si>
  <si>
    <t>Participant describes friction caused by external factors that create hectic and unpredictable conditions.</t>
  </si>
  <si>
    <t>work becomes unpredictable due to things outside our control</t>
  </si>
  <si>
    <t>some things spring up that we need to do then</t>
  </si>
  <si>
    <t>Participant discloses reactive work pressures that arise without warning.</t>
  </si>
  <si>
    <t>unexpected tasks suddenly appearing</t>
  </si>
  <si>
    <t>I think we still managed to cram in the work in there. It went a bit longer from time to time, but more or less was a good, right week.</t>
  </si>
  <si>
    <t>Participant reveals workload compression softened by positive framing that it was still a good week.</t>
  </si>
  <si>
    <t>cramming five days of work into four</t>
  </si>
  <si>
    <t>it went a bit longer from time to time</t>
  </si>
  <si>
    <t>Participant discloses extended work hours while describing a shortened week as otherwise positive.</t>
  </si>
  <si>
    <t>working longer hours on some days</t>
  </si>
  <si>
    <t>I think not per se sustainable, but long-term, definitely sustainable.</t>
  </si>
  <si>
    <t>Participant qualifies a sustainability concern by distinguishing immediate pressure from overall pattern.</t>
  </si>
  <si>
    <t>reframing short-term unsustainability as long-term sustainable</t>
  </si>
  <si>
    <t>it was not the most sustainable week. It went a bit longer from time to time, but it was as expected.</t>
  </si>
  <si>
    <t>Participant acknowledges lack of sustainability but normalizes it by saying it was expected.</t>
  </si>
  <si>
    <t>expecting the week to be unsustainable</t>
  </si>
  <si>
    <t>there will be tough days coming up, but that's part of the job</t>
  </si>
  <si>
    <t>Participant anticipates difficult workload but normalizes it as an inherent aspect of the role.</t>
  </si>
  <si>
    <t>tough days ahead are just part of the job</t>
  </si>
  <si>
    <t>{"session_id": "c9b1a6fa-81dc-4791-95f4-b6607a4ba6b8", "quotes": [{"quote_text": "I think the team should still also raise points that they think, uh, are unnecessary or could be, um, prioritized differently. For example, if they say that it's better to take more time for a team event in the afternoon, then they should also say it, uh, instead of, of them falling short and having not enough time for, for example, walking around the lake.", "topic": "closing", "first_order_code": "team not speaking up when activities feel unnecessary or rushed", "flagging_reason": "Identifies a concern that team members are not voicing priorities or time constraints they experience.", "confidence": 0.85}, {"quote_text": "So, they should also, um, raise that them- themselves when they are having an issue or see something that, that could become an issue.", "topic": "closing", "first_order_code": "wanting teammates to flag problems before they grow", "flagging_reason": "Expresses concern that team members are not raising issues proactively.", "confidence": 0.75}]}</t>
  </si>
  <si>
    <t>I think the team should still also raise points that they think, uh, are unnecessary or could be, um, prioritized differently. For example, if they say that it's better to take more time for a team event in the afternoon, then they should also say it, uh, instead of, of them falling short and having not enough time for, for example, walking around the lake.</t>
  </si>
  <si>
    <t>Identifies a concern that team members are not voicing priorities or time constraints they experience.</t>
  </si>
  <si>
    <t>team not speaking up when activities feel unnecessary or rushed</t>
  </si>
  <si>
    <t>So, they should also, um, raise that them- themselves when they are having an issue or see something that, that could become an issue.</t>
  </si>
  <si>
    <t>Expresses concern that team members are not raising issues proactively.</t>
  </si>
  <si>
    <t>wanting teammates to flag problems before they grow</t>
  </si>
  <si>
    <t>{"session_id": "ca81edeb-72b9-4636-8728-86c5a41e28c8", "quotes": [{"quote_text": "What could be improved is the working hours, right? So current project is not sustainable, working until 2:00 a.m. every day in the morning and having to deliver a product which is free of any technical error. It is a mission which is impossible and which is doomed to fail.", "topic": "overall_experience", "first_order_code": "working until 2am with zero-error expectation is impossible", "flagging_reason": "Participant surfaces a major workload concern stating the mission is doomed to fail.", "confidence": 1.0}, {"quote_text": "And I think it's important of leadership also to acknowledge the complexity and the challenges it, it's facing the team is in right now. And I think telling the team that they understand what we're going through and what we're dealing with and the mission we are tackling and the complexity of the problem we are tackling would be very important.", "topic": "overall_experience", "first_order_code": "leadership not acknowledging what the team is going through", "flagging_reason": "Participant frames a leadership engagement problem as need for acknowledgment.", "confidence": 0.95}, {"quote_text": "And then it would be also important to discuss about how the team can be fairly compensated of what they're doing here.", "topic": "overall_experience", "first_order_code": "needing to discuss fair compensation for this work", "flagging_reason": "Participant raises compensation concern in relation to workload intensity.", "confidence": 0.9}, {"quote_text": "Right now, I, uh, I can, I will not, uh, share a specific example.", "topic": "overall_experience", "first_order_code": "declining to share a specific example", "flagging_reason": "Participant explicitly refuses to provide a concrete example when the topic invites one.", "confidence": 1.0}, {"quote_text": "But working like this for another two or three months would not be sustainable anyhow. And I think I not only speak for myself, but here I speak for the team that everyone is desperately needing some days off, but it's very hard to stay focused and very hard to, you know, function in a environment where you cannot in a... or, or to, to work on a task where you cannot do any mistakes, right, with those hours.", "topic": "workload_sustainability", "first_order_code": "desperately needing time off but unable to stay focused with these hours", "flagging_reason": "Participant describes cognitive strain and desperate need for rest under unsustainable conditions.", "confidence": 0.95}, {"quote_text": "Because it's not feasible right now. We need to be there for the client, and if I take a day off, the team will even suffer more. So, we need to be aligned and everyone's pulling on one string, on the same string, and there cannot be anyone doing holidays right now when the, the rest of the team is suffering.", "topic": "workload_sustainability", "first_order_code": "unable to take days off because the team would suffer more", "flagging_reason": "Participant explains inability to take needed time off due to team-level pressure and client obligation.", "confidence": 0.9}, {"quote_text": "But, um, I'm not sure whether the detail, the level of detail we're working on, uh, will benefit the company as the plan we're developing will be obsolete within two or three weeks down the line. Not obsolete, not, obsolete is not the right word, but outdated two or three weeks down the line as the client has a project business model which is very volatile.", "topic": "client_value", "first_order_code": "unsure if the level of detail benefits the client given the plan becomes outdated so quickly", "flagging_reason": "Participant questions the value of extreme detail in their work, then softens the word 'obsolete' to 'outdated.'", "confidence": 0.92}, {"quote_text": "I think the best discussion or the best examples, right? I was having a conversation with the CFO on the toilet. Please do not cite that.", "topic": "client_value", "first_order_code": "asking the AI not to cite a specific example just given", "flagging_reason": "Participant shares an example then immediately requests it not be quoted, showing concern about disclosure.", "confidence": 1.0}, {"quote_text": "And there was no email which was somehow directed to the team from case leadership, um, thanking the team for the effort that they put in. Nothing, zero comments.", "topic": "leadership_engagement", "first_order_code": "no thank you from case leadership after weeks of extreme hours", "flagging_reason": "Participant describes absence of recognition from leadership following major deliverable under intense conditions.", "confidence": 1.0}, {"quote_text": "I think leadership is somehow isolated from most of the people in the AC team, and please don't, don't quote that, but yeah, that's my impression. Like, very distant at the moment, um, or I feel, I feel very distant to what people on the ground feel and live on the case.", "topic": "leadership_engagement", "first_order_code": "leadership feels isolated and distant from what people on the ground are living", "flagging_reason": "Participant voices concern about leadership distance then explicitly asks the AI not to quote it.", "confidence": 1.0}]}</t>
  </si>
  <si>
    <t>But, um, I'm not sure whether the detail, the level of detail we're working on, uh, will benefit the company as the plan we're developing will be obsolete within two or three weeks down the line. Not obsolete, not, obsolete is not the right word, but outdated two or three weeks down the line as the client has a project business model which is very volatile.</t>
  </si>
  <si>
    <t>Participant questions the value of extreme detail in their work, then softens the word 'obsolete' to 'outdated.'</t>
  </si>
  <si>
    <t>unsure if the level of detail benefits the client given the plan becomes outdated so quickly</t>
  </si>
  <si>
    <t>I think the best discussion or the best examples, right? I was having a conversation with the CFO on the toilet. Please do not cite that.</t>
  </si>
  <si>
    <t>Participant shares an example then immediately requests it not be quoted, showing concern about disclosure.</t>
  </si>
  <si>
    <t>asking the AI not to cite a specific example just given</t>
  </si>
  <si>
    <t>And there was no email which was somehow directed to the team from case leadership, um, thanking the team for the effort that they put in. Nothing, zero comments.</t>
  </si>
  <si>
    <t>Participant describes absence of recognition from leadership following major deliverable under intense conditions.</t>
  </si>
  <si>
    <t>no thank you from case leadership after weeks of extreme hours</t>
  </si>
  <si>
    <t>I think leadership is somehow isolated from most of the people in the AC team, and please don't, don't quote that, but yeah, that's my impression. Like, very distant at the moment, um, or I feel, I feel very distant to what people on the ground feel and live on the case.</t>
  </si>
  <si>
    <t>Participant voices concern about leadership distance then explicitly asks the AI not to quote it.</t>
  </si>
  <si>
    <t>leadership feels isolated and distant from what people on the ground are living</t>
  </si>
  <si>
    <t>And I think it's important of leadership also to acknowledge the complexity and the challenges it, it's facing the team is in right now. And I think telling the team that they understand what we're going through and what we're dealing with and the mission we are tackling and the complexity of the problem we are tackling would be very important.</t>
  </si>
  <si>
    <t>Participant frames a leadership engagement problem as need for acknowledgment.</t>
  </si>
  <si>
    <t>leadership not acknowledging what the team is going through</t>
  </si>
  <si>
    <t>And then it would be also important to discuss about how the team can be fairly compensated of what they're doing here.</t>
  </si>
  <si>
    <t>Participant raises compensation concern in relation to workload intensity.</t>
  </si>
  <si>
    <t>needing to discuss fair compensation for this work</t>
  </si>
  <si>
    <t>Right now, I, uh, I can, I will not, uh, share a specific example.</t>
  </si>
  <si>
    <t>Participant explicitly refuses to provide a concrete example when the topic invites one.</t>
  </si>
  <si>
    <t>declining to share a specific example</t>
  </si>
  <si>
    <t>What could be improved is the working hours, right? So current project is not sustainable, working until 2:00 a.m. every day in the morning and having to deliver a product which is free of any technical error. It is a mission which is impossible and which is doomed to fail.</t>
  </si>
  <si>
    <t>Participant surfaces a major workload concern stating the mission is doomed to fail.</t>
  </si>
  <si>
    <t>working until 2am with zero-error expectation is impossible</t>
  </si>
  <si>
    <t>Because it's not feasible right now. We need to be there for the client, and if I take a day off, the team will even suffer more. So, we need to be aligned and everyone's pulling on one string, on the same string, and there cannot be anyone doing holidays right now when the, the rest of the team is suffering.</t>
  </si>
  <si>
    <t>Participant explains inability to take needed time off due to team-level pressure and client obligation.</t>
  </si>
  <si>
    <t>unable to take days off because the team would suffer more</t>
  </si>
  <si>
    <t>But working like this for another two or three months would not be sustainable anyhow. And I think I not only speak for myself, but here I speak for the team that everyone is desperately needing some days off, but it's very hard to stay focused and very hard to, you know, function in a environment where you cannot in a... or, or to, to work on a task where you cannot do any mistakes, right, with those hours.</t>
  </si>
  <si>
    <t>Participant describes cognitive strain and desperate need for rest under unsustainable conditions.</t>
  </si>
  <si>
    <t>desperately needing time off but unable to stay focused with these hours</t>
  </si>
  <si>
    <t>{"session_id": "cad7faf9-b952-4c53-bfd7-0676ca456d33", "quotes": [{"quote_text": "It was sustainable, although it was quite a lot as we had those two things in parallel", "topic": "workload_sustainability", "first_order_code": "acknowledging high volume despite calling it sustainable", "flagging_reason": "Participant qualifies a positive sustainability statement by acknowledging the workload was quite a lot.", "confidence": 0.75}]}</t>
  </si>
  <si>
    <t>It was sustainable, although it was quite a lot as we had those two things in parallel</t>
  </si>
  <si>
    <t>Participant qualifies a positive sustainability statement by acknowledging the workload was quite a lot.</t>
  </si>
  <si>
    <t>acknowledging high volume despite calling it sustainable</t>
  </si>
  <si>
    <t>{"session_id": "cf0f9c95-dd4a-4096-89f1-d229ebf5f55e", "quotes": [{"quote_text": "So the last week was very sustainable, except for the unexpected work on Friday evening.", "topic": "workload_sustainability", "first_order_code": "unexpected work landing on Friday evening", "flagging_reason": "Participant qualifies an otherwise positive statement by flagging an unplanned work demand that disrupted sustainability.", "confidence": 0.85}, {"quote_text": "Um, that was just a last-minute client decision.", "topic": "workload_sustainability", "first_order_code": "attributing Friday disruption to last-minute client call", "flagging_reason": "Participant softens or explains away the Friday evening work issue by reattributing it to the client rather than internal planning.", "confidence": 0.75}, {"quote_text": "Leadership is visible, but, um, as of right now, not very active because we don't need it at the moment.", "topic": "leadership_engagement", "first_order_code": "leadership present but not active right now", "flagging_reason": "Participant qualifies leadership engagement as limited, though frames it as currently acceptable or not yet needed.", "confidence": 0.7}]}</t>
  </si>
  <si>
    <t>Leadership is visible, but, um, as of right now, not very active because we don't need it at the moment.</t>
  </si>
  <si>
    <t>Participant qualifies leadership engagement as limited, though frames it as currently acceptable or not yet needed.</t>
  </si>
  <si>
    <t>leadership present but not active right now</t>
  </si>
  <si>
    <t>So the last week was very sustainable, except for the unexpected work on Friday evening.</t>
  </si>
  <si>
    <t>Participant qualifies an otherwise positive statement by flagging an unplanned work demand that disrupted sustainability.</t>
  </si>
  <si>
    <t>unexpected work landing on Friday evening</t>
  </si>
  <si>
    <t>Um, that was just a last-minute client decision.</t>
  </si>
  <si>
    <t>Participant softens or explains away the Friday evening work issue by reattributing it to the client rather than internal planning.</t>
  </si>
  <si>
    <t>attributing Friday disruption to last-minute client call</t>
  </si>
  <si>
    <t>{"session_id": "d025ac16-b1cf-41b5-a772-12ed146ad9f1", "quotes": [{"quote_text": "we also had quite a stretch with the time zones, so we had first calls at, like, 4:00 in the morning and the last calls at, like, well past 10:00 p.m. Um, so these were really long days.", "topic": "workload_sustainability", "first_order_code": "working days stretching from 4am to past 10pm", "flagging_reason": "Participant describes a workload concern about extremely long working hours spanning early morning to late evening, even while framing the week as sustainable overall.", "confidence": 0.95}]}</t>
  </si>
  <si>
    <t>we also had quite a stretch with the time zones, so we had first calls at, like, 4:00 in the morning and the last calls at, like, well past 10:00 p.m. Um, so these were really long days.</t>
  </si>
  <si>
    <t>Participant describes a workload concern about extremely long working hours spanning early morning to late evening, even while framing the week as sustainable overall.</t>
  </si>
  <si>
    <t>working days stretching from 4am to past 10pm</t>
  </si>
  <si>
    <t>{"session_id": "d3bdf097-5748-4777-9b42-1c602e133c39", "quotes": [{"quote_text": "areas that could be improved is, um, it depends on external factors, so I don't think we can improve them per se in, internally inside our workstream team, but finding time to align as a team and, um, and, um, delegate, uh, even more effectively.", "topic": "overall_experience", "first_order_code": "reframing team problem as external factors", "flagging_reason": "Participant identifies a team coordination issue but immediately reattributes it to factors outside the team's control.", "confidence": 0.85}, {"quote_text": "T- tight schedules and not having enough time.", "topic": "overall_experience", "first_order_code": "tight schedules and not enough time", "flagging_reason": "States a concrete work constraint affecting team alignment and delegation.", "confidence": 0.9}, {"quote_text": "there could be tasks that take up more time than you thought they would. Um, so there were definitely, like, some longer days, um, that I did not expect in the intensity", "topic": "workload_sustainability", "first_order_code": "unexpected longer days from tasks taking more time", "flagging_reason": "Describes unpredictable workload leading to unexpectedly intense long days.", "confidence": 0.9}, {"quote_text": "but, um, you could argue that, um, you could expect intense days and long days at the moment, uh, in general. So I would say it's, it's, it's okay. It's mediocre.", "topic": "workload_sustainability", "first_order_code": "normalizing long days as just what to expect", "flagging_reason": "Softens the concern about long intense days by reframing them as normal and downgrading assessment to mediocre.", "confidence": 0.88}, {"quote_text": "I would say very. Um, but I am not sure, like, I, I don't have much insights on that.", "topic": "client_value", "first_order_code": "not having insight into client value", "flagging_reason": "Gives positive surface answer then immediately contradicts it by stating lack of actual knowledge.", "confidence": 0.82}, {"quote_text": "Um, I actually don't know.", "topic": "leadership_engagement", "first_order_code": "not knowing about leadership engagement", "flagging_reason": "Acknowledges lack of visibility into leadership engagement on the project.", "confidence": 0.75}, {"quote_text": "Yeah, on my part, there is no- not a lot of interaction, um...So, I cannot comment, um, positively or negatively on that, so I would just, uh, uh, refrain from answering that.", "topic": "leadership_engagement", "first_order_code": "declining to comment due to lack of interaction", "flagging_reason": "Explicitly withdraws from answering after revealing minimal interaction with leadership.", "confidence": 0.87}]}</t>
  </si>
  <si>
    <t>I would say very. Um, but I am not sure, like, I, I don't have much insights on that.</t>
  </si>
  <si>
    <t>Gives positive surface answer then immediately contradicts it by stating lack of actual knowledge.</t>
  </si>
  <si>
    <t>not having insight into client value</t>
  </si>
  <si>
    <t>Um, I actually don't know.</t>
  </si>
  <si>
    <t>Acknowledges lack of visibility into leadership engagement on the project.</t>
  </si>
  <si>
    <t>not knowing about leadership engagement</t>
  </si>
  <si>
    <t>Yeah, on my part, there is no- not a lot of interaction, um...So, I cannot comment, um, positively or negatively on that, so I would just, uh, uh, refrain from answering that.</t>
  </si>
  <si>
    <t>Explicitly withdraws from answering after revealing minimal interaction with leadership.</t>
  </si>
  <si>
    <t>declining to comment due to lack of interaction</t>
  </si>
  <si>
    <t>T- tight schedules and not having enough time.</t>
  </si>
  <si>
    <t>States a concrete work constraint affecting team alignment and delegation.</t>
  </si>
  <si>
    <t>tight schedules and not enough time</t>
  </si>
  <si>
    <t>areas that could be improved is, um, it depends on external factors, so I don't think we can improve them per se in, internally inside our workstream team, but finding time to align as a team and, um, and, um, delegate, uh, even more effectively.</t>
  </si>
  <si>
    <t>Participant identifies a team coordination issue but immediately reattributes it to factors outside the team's control.</t>
  </si>
  <si>
    <t>reframing team problem as external factors</t>
  </si>
  <si>
    <t>but, um, you could argue that, um, you could expect intense days and long days at the moment, uh, in general. So I would say it's, it's, it's okay. It's mediocre.</t>
  </si>
  <si>
    <t>Softens the concern about long intense days by reframing them as normal and downgrading assessment to mediocre.</t>
  </si>
  <si>
    <t>normalizing long days as just what to expect</t>
  </si>
  <si>
    <t>there could be tasks that take up more time than you thought they would. Um, so there were definitely, like, some longer days, um, that I did not expect in the intensity</t>
  </si>
  <si>
    <t>Describes unpredictable workload leading to unexpectedly intense long days.</t>
  </si>
  <si>
    <t>unexpected longer days from tasks taking more time</t>
  </si>
  <si>
    <t>{"session_id": "d8485441-c775-4fa2-b768-600a088a6292", "quotes": [{"quote_text": "I think very little went well last week, to be honest.", "topic": "overall_experience", "first_order_code": "very little went well this week", "flagging_reason": "Opens with a blunt negative assessment of the week's experience.", "confidence": 0.95}, {"quote_text": "Prioritization is not done effectively, I think, on the case.", "topic": "overall_experience", "first_order_code": "prioritization not done effectively on the case", "flagging_reason": "States a structural problem with how work is organized, softened slightly with 'I think'.", "confidence": 0.9}, {"quote_text": "Some people consistently put in hours that are way beyond what the rest of the team is putting in.", "topic": "overall_experience", "first_order_code": "some people putting in far more hours than others", "flagging_reason": "Identifies an imbalanced workload distribution across the team.", "confidence": 0.95}, {"quote_text": "I think this is hurting team cohesion, and that is even further amplified if other streams that are leaving quite early, never even offer to help, which I think should be a given in any well-functioning team.", "topic": "overall_experience", "first_order_code": "team cohesion suffering when early-leavers don't offer help", "flagging_reason": "Expresses concern about team dynamics and implicit criticism of colleagues who don't assist.", "confidence": 0.95}, {"quote_text": "Overall, I think the time is quite disappointing.", "topic": "overall_experience", "first_order_code": "overall experience quite disappointing", "flagging_reason": "Summarizes the week with a negative assessment, softened by 'quite'.", "confidence": 0.9}, {"quote_text": "It's more of a structural setup topic. So some streams just have to do more work than the others because more topics reach them, and those streams do not have the sufficient capacity to do their job.", "topic": "overall_experience", "first_order_code": "reframing workload imbalance as a structural setup issue", "flagging_reason": "Reframes the people problem as a system-level structural issue after agent probes.", "confidence": 0.95}, {"quote_text": "Those other streams that are doing less work simply still don't do the work, and then at some point, it's again left to the teams that already do the majority of work.", "topic": "overall_experience", "first_order_code": "less-busy streams not taking on work even when shifted", "flagging_reason": "Describes a recurring pattern where certain teams fail to pick up reassigned responsibilities.", "confidence": 0.95}, {"quote_text": "Our leadership is simply not sufficiently involved. They are not aware of these structural imbalances to the degree that they should be.", "topic": "overall_experience", "first_order_code": "leadership not sufficiently involved or aware of imbalances", "flagging_reason": "Directly criticizes leadership for lack of engagement and awareness.", "confidence": 0.95}, {"quote_text": "Whether those that were assigned tasks actually complete them is never sufficiently, I think, monitored might be a harsh word, but at least tracked.", "topic": "overall_experience", "first_order_code": "no tracking of whether assigned tasks get completed", "flagging_reason": "Identifies a leadership failure while softening the word 'monitored' as potentially too harsh.", "confidence": 0.95}, {"quote_text": "One client counterpart that some streams are working for essentially always tells them that other work is not important, and they are able to essentially hide behind this issue or this statement by the client counterpart.", "topic": "overall_experience", "first_order_code": "streams hiding behind client's deprioritization to avoid work", "flagging_reason": "Describes how colleagues use a client statement as cover to avoid additional responsibilities.", "confidence": 0.9}, {"quote_text": "I've been on this case for one and a half years and there's not even been a handful of CTMs.", "topic": "overall_experience", "first_order_code": "fewer than five case team meetings in eighteen months", "flagging_reason": "Quantifies the lack of leadership engagement with a concrete example.", "confidence": 0.95}, {"quote_text": "That just leaves in the end that all the work gets shifted to certain individual streams, which makes their life miserable.", "topic": "overall_experience", "first_order_code": "work concentration making certain streams' lives miserable", "flagging_reason": "Describes the emotional toll of unequal work distribution in strong terms.", "confidence": 0.95}, {"quote_text": "I don't see the value that I'm contributing with what I am doing, simply because I think that, yeah, that what we are doing is essentially useless.", "topic": "client_value", "first_order_code": "not seeing value in my own work because it's useless", "flagging_reason": "Expresses a sharp personal concern about the meaninglessness of own contribution, with slight hedging.", "confidence": 0.95}, {"quote_text": "What we are doing is simply not value-adding and also not the kind of work that BCG should be doing because it's way too operational.", "topic": "client_value", "first_order_code": "work is too operational and not what BCG should do", "flagging_reason": "Criticizes the nature of the work as beneath the firm's standards.", "confidence": 0.95}, {"quote_text": "We are way too much acting like a workbench, an extended workbench, where simply substitute for lacking or missing capacity or missing skills from the client side.", "topic": "client_value", "first_order_code": "acting as extended workbench substituting for client capacity", "flagging_reason": "Describes the work as mere capacity-filling rather than strategic consulting.", "confidence": 0.9}, {"quote_text": "We are not working on strategic or conceptual ideas like we should, but we are just doing capacity substitution.", "topic": "client_value", "first_order_code": "doing capacity substitution instead of strategic work", "flagging_reason": "Contrasts current work against professional expectations of what the role should involve.", "confidence": 0.95}, {"quote_text": "That's what we were sold on like the case budget, which was sold includes this kind of work. I just think that it's not the kind of work that BCG should do, but our leadership, they would not see this issue.", "topic": "client_value", "first_order_code": "leadership would not see the problem with this work", "flagging_reason": "Attributes the continuation of low-value work to leadership blindness or disagreement about standards.", "confidence": 0.9}]}</t>
  </si>
  <si>
    <t>I don't see the value that I'm contributing with what I am doing, simply because I think that, yeah, that what we are doing is essentially useless.</t>
  </si>
  <si>
    <t>Expresses a sharp personal concern about the meaninglessness of own contribution, with slight hedging.</t>
  </si>
  <si>
    <t>not seeing value in my own work because it's useless</t>
  </si>
  <si>
    <t>That's what we were sold on like the case budget, which was sold includes this kind of work. I just think that it's not the kind of work that BCG should do, but our leadership, they would not see this issue.</t>
  </si>
  <si>
    <t>Attributes the continuation of low-value work to leadership blindness or disagreement about standards.</t>
  </si>
  <si>
    <t>leadership would not see the problem with this work</t>
  </si>
  <si>
    <t>We are not working on strategic or conceptual ideas like we should, but we are just doing capacity substitution.</t>
  </si>
  <si>
    <t>Contrasts current work against professional expectations of what the role should involve.</t>
  </si>
  <si>
    <t>doing capacity substitution instead of strategic work</t>
  </si>
  <si>
    <t>We are way too much acting like a workbench, an extended workbench, where simply substitute for lacking or missing capacity or missing skills from the client side.</t>
  </si>
  <si>
    <t>Describes the work as mere capacity-filling rather than strategic consulting.</t>
  </si>
  <si>
    <t>acting as extended workbench substituting for client capacity</t>
  </si>
  <si>
    <t>What we are doing is simply not value-adding and also not the kind of work that BCG should be doing because it's way too operational.</t>
  </si>
  <si>
    <t>Criticizes the nature of the work as beneath the firm's standards.</t>
  </si>
  <si>
    <t>work is too operational and not what BCG should do</t>
  </si>
  <si>
    <t>I think this is hurting team cohesion, and that is even further amplified if other streams that are leaving quite early, never even offer to help, which I think should be a given in any well-functioning team.</t>
  </si>
  <si>
    <t>Expresses concern about team dynamics and implicit criticism of colleagues who don't assist.</t>
  </si>
  <si>
    <t>team cohesion suffering when early-leavers don't offer help</t>
  </si>
  <si>
    <t>I think very little went well last week, to be honest.</t>
  </si>
  <si>
    <t>Opens with a blunt negative assessment of the week's experience.</t>
  </si>
  <si>
    <t>very little went well this week</t>
  </si>
  <si>
    <t>I've been on this case for one and a half years and there's not even been a handful of CTMs.</t>
  </si>
  <si>
    <t>Quantifies the lack of leadership engagement with a concrete example.</t>
  </si>
  <si>
    <t>fewer than five case team meetings in eighteen months</t>
  </si>
  <si>
    <t>It's more of a structural setup topic. So some streams just have to do more work than the others because more topics reach them, and those streams do not have the sufficient capacity to do their job.</t>
  </si>
  <si>
    <t>Reframes the people problem as a system-level structural issue after agent probes.</t>
  </si>
  <si>
    <t>reframing workload imbalance as a structural setup issue</t>
  </si>
  <si>
    <t>One client counterpart that some streams are working for essentially always tells them that other work is not important, and they are able to essentially hide behind this issue or this statement by the client counterpart.</t>
  </si>
  <si>
    <t>Describes how colleagues use a client statement as cover to avoid additional responsibilities.</t>
  </si>
  <si>
    <t>streams hiding behind client's deprioritization to avoid work</t>
  </si>
  <si>
    <t>Our leadership is simply not sufficiently involved. They are not aware of these structural imbalances to the degree that they should be.</t>
  </si>
  <si>
    <t>Directly criticizes leadership for lack of engagement and awareness.</t>
  </si>
  <si>
    <t>leadership not sufficiently involved or aware of imbalances</t>
  </si>
  <si>
    <t>Overall, I think the time is quite disappointing.</t>
  </si>
  <si>
    <t>Summarizes the week with a negative assessment, softened by 'quite'.</t>
  </si>
  <si>
    <t>overall experience quite disappointing</t>
  </si>
  <si>
    <t>Prioritization is not done effectively, I think, on the case.</t>
  </si>
  <si>
    <t>States a structural problem with how work is organized, softened slightly with 'I think'.</t>
  </si>
  <si>
    <t>prioritization not done effectively on the case</t>
  </si>
  <si>
    <t>Some people consistently put in hours that are way beyond what the rest of the team is putting in.</t>
  </si>
  <si>
    <t>Identifies an imbalanced workload distribution across the team.</t>
  </si>
  <si>
    <t>some people putting in far more hours than others</t>
  </si>
  <si>
    <t>That just leaves in the end that all the work gets shifted to certain individual streams, which makes their life miserable.</t>
  </si>
  <si>
    <t>Describes the emotional toll of unequal work distribution in strong terms.</t>
  </si>
  <si>
    <t>work concentration making certain streams' lives miserable</t>
  </si>
  <si>
    <t>Those other streams that are doing less work simply still don't do the work, and then at some point, it's again left to the teams that already do the majority of work.</t>
  </si>
  <si>
    <t>Describes a recurring pattern where certain teams fail to pick up reassigned responsibilities.</t>
  </si>
  <si>
    <t>less-busy streams not taking on work even when shifted</t>
  </si>
  <si>
    <t>Whether those that were assigned tasks actually complete them is never sufficiently, I think, monitored might be a harsh word, but at least tracked.</t>
  </si>
  <si>
    <t>Identifies a leadership failure while softening the word 'monitored' as potentially too harsh.</t>
  </si>
  <si>
    <t>no tracking of whether assigned tasks get completed</t>
  </si>
  <si>
    <t>{"session_id": "e31b56e8-962d-4c13-9d65-d8bb18c76c18", "quotes": [{"quote_text": "what could definitely be improved is probably the stress level or the intensity of the work. So we are working long hours.", "topic": "overall_experience", "first_order_code": "needing to reduce stress and intensity from long hours", "flagging_reason": "Participant expresses a work concern but uses softening language ('probably') to introduce it.", "confidence": 0.95}, {"quote_text": "usually deadlines change. It's hard to stay on top of everything when you don't know until when you have to finish something.", "topic": "overall_experience", "first_order_code": "not knowing deadlines in advance makes work unmanageable", "flagging_reason": "Participant describes an ongoing friction around unpredictable deadlines affecting their ability to plan.", "confidence": 0.95}, {"quote_text": "we are usually working past one o'clock in the morning to get everything done.", "topic": "overall_experience", "first_order_code": "regularly working past 1am to meet deadlines", "flagging_reason": "Participant discloses a concrete work problem regarding extreme working hours.", "confidence": 1.0}, {"quote_text": "I think it was a lot driven by the client. So in some parts, it's part of the job, and it's not really the fault of maybe the team leadership, but still you can communicate it better, and you can try to front load everything that is possible.", "topic": "overall_experience", "first_order_code": "reframing leadership communication gap as client-driven and part of the job", "flagging_reason": "Participant attributes the problem away from team leadership while simultaneously stating leadership could communicate better, showing defensive softening.", "confidence": 0.9}, {"quote_text": "for me, I was not aware that we had to deliver the adjustments until, I don't know, the afternoon on Thursday. This just came up, and then I wasn't traveling, so it was really hard for me to really adjust everything, and really stressful to get everything done, and we didn't really make it on that time.", "topic": "overall_experience", "first_order_code": "learning of urgent deliverable same-day while away made it impossible to finish on time", "flagging_reason": "Participant describes a specific stressful incident involving late notification and missed deadline, surfacing after a probe to elaborate.", "confidence": 0.95}, {"quote_text": "in the end, it wasn't really done, and then we were looking at numbers that weren't really working out, despite our input. It was the correct input, to be fair, just there was... We would have needed another step to validate everything, and we didn't have the time for that.", "topic": "overall_experience", "first_order_code": "delivering unvalidated work because there wasn't time to check it properly", "flagging_reason": "Participant discloses quality concern and defends their work ('correct input') while acknowledging the deliverable was incomplete.", "confidence": 0.9}, {"quote_text": "I'm not 100% sure if it is sustainable. We've been working really long hours, I would say, also on Thursday.", "topic": "workload_sustainability", "first_order_code": "unsure whether the current hours are sustainable", "flagging_reason": "Participant hedges uncertainty ('not 100% sure') while expressing doubt about workload sustainability.", "confidence": 0.85}, {"quote_text": "it's not really plannable, so often there are new tasks coming in. Maybe you don't know how long you will take for the presentation. If we need another iteration, it's not that we just have to work until 1:00 a.m., but also that there's a lot of other stuff just coming up.", "topic": "workload_sustainability", "first_order_code": "unable to plan because tasks keep appearing unpredictably", "flagging_reason": "Participant describes ongoing friction with unpredictable workload making planning impossible.", "confidence": 0.9}, {"quote_text": "I don't think it's sustainable to work until 2:00 a.m. four days back to back, and sometimes even longer for other members of the team.", "topic": "workload_sustainability", "first_order_code": "working until 2am four nights in a row is not sustainable", "flagging_reason": "Participant directly states a workload concern about extreme consecutive late nights, including concern for teammates.", "confidence": 1.0}, {"quote_text": "To be honest, I'm not 100% sure about that. I think it is really important work that needs to be done. The question is, does it all need to be done by us?", "topic": "client_value", "first_order_code": "questioning whether all the work actually needs to be done by the team", "flagging_reason": "Participant hedges uncertainty then raises a concern about scope appropriateness, softened by affirming the work is important first.", "confidence": 0.9}, {"quote_text": "I think if we know that there will be a new deliverable or that there will be changes of plans, maybe it would be better to actually discuss everything, the line, everything, because there were a lot of changes in the planning, also driven by the client.", "topic": "client_value", "first_order_code": "wanting to discuss scope changes upfront instead of last-minute adjustments", "flagging_reason": "Participant expresses concern about poor planning process and reattributes some responsibility to the client.", "confidence": 0.85}, {"quote_text": "it was a really dynamic week, and we were able to keep up with that. So I think that's something that really was good for the client, but still in the end, it was a lot of work for us.", "topic": "client_value", "first_order_code": "meeting client needs but at high cost to the team", "flagging_reason": "Participant gives positive framing about client value but then qualifies it with the burden on the team.", "confidence": 0.9}, {"quote_text": "We didn't really have all the check-ins because all of the changes that were coming up. But given that they've been super busy as well, I think they did a good job on focusing that.", "topic": "leadership_engagement", "first_order_code": "missing regular check-ins but excusing leadership because they were busy too", "flagging_reason": "Participant identifies a leadership gap (missed check-ins) but immediately softens it by defending leadership's busyness.", "confidence": 0.9}, {"quote_text": "I hope just for the next few weeks that they will take into account the feedback that we gave.", "topic": "leadership_engagement", "first_order_code": "hoping leadership will actually act on the feedback given", "flagging_reason": "Participant expresses uncertainty about whether their feedback will be implemented, indicating possible concern about responsiveness.", "confidence": 0.85}, {"quote_text": "I think it would be good if all the tasks that need to be done are communicated, if possible, by at least or at most 8:00 in the evening. So after that, we should aim to really have everything divided and work through getting through this, if possible.", "topic": "leadership_engagement", "first_order_code": "wanting task assignments by 8pm so the team can plan their evening work", "flagging_reason": "Participant requests a specific change to address late-night work planning, revealing an ongoing problem with task communication timing.", "confidence": 0.95}]}</t>
  </si>
  <si>
    <t>I think if we know that there will be a new deliverable or that there will be changes of plans, maybe it would be better to actually discuss everything, the line, everything, because there were a lot of changes in the planning, also driven by the client.</t>
  </si>
  <si>
    <t>Participant expresses concern about poor planning process and reattributes some responsibility to the client.</t>
  </si>
  <si>
    <t>wanting to discuss scope changes upfront instead of last-minute adjustments</t>
  </si>
  <si>
    <t>To be honest, I'm not 100% sure about that. I think it is really important work that needs to be done. The question is, does it all need to be done by us?</t>
  </si>
  <si>
    <t>Participant hedges uncertainty then raises a concern about scope appropriateness, softened by affirming the work is important first.</t>
  </si>
  <si>
    <t>questioning whether all the work actually needs to be done by the team</t>
  </si>
  <si>
    <t>it was a really dynamic week, and we were able to keep up with that. So I think that's something that really was good for the client, but still in the end, it was a lot of work for us.</t>
  </si>
  <si>
    <t>Participant gives positive framing about client value but then qualifies it with the burden on the team.</t>
  </si>
  <si>
    <t>meeting client needs but at high cost to the team</t>
  </si>
  <si>
    <t>I hope just for the next few weeks that they will take into account the feedback that we gave.</t>
  </si>
  <si>
    <t>Participant expresses uncertainty about whether their feedback will be implemented, indicating possible concern about responsiveness.</t>
  </si>
  <si>
    <t>hoping leadership will actually act on the feedback given</t>
  </si>
  <si>
    <t>I think it would be good if all the tasks that need to be done are communicated, if possible, by at least or at most 8:00 in the evening. So after that, we should aim to really have everything divided and work through getting through this, if possible.</t>
  </si>
  <si>
    <t>Participant requests a specific change to address late-night work planning, revealing an ongoing problem with task communication timing.</t>
  </si>
  <si>
    <t>wanting task assignments by 8pm so the team can plan their evening work</t>
  </si>
  <si>
    <t>We didn't really have all the check-ins because all of the changes that were coming up. But given that they've been super busy as well, I think they did a good job on focusing that.</t>
  </si>
  <si>
    <t>Participant identifies a leadership gap (missed check-ins) but immediately softens it by defending leadership's busyness.</t>
  </si>
  <si>
    <t>missing regular check-ins but excusing leadership because they were busy too</t>
  </si>
  <si>
    <t>I think it was a lot driven by the client. So in some parts, it's part of the job, and it's not really the fault of maybe the team leadership, but still you can communicate it better, and you can try to front load everything that is possible.</t>
  </si>
  <si>
    <t>Participant attributes the problem away from team leadership while simultaneously stating leadership could communicate better, showing defensive softening.</t>
  </si>
  <si>
    <t>reframing leadership communication gap as client-driven and part of the job</t>
  </si>
  <si>
    <t>for me, I was not aware that we had to deliver the adjustments until, I don't know, the afternoon on Thursday. This just came up, and then I wasn't traveling, so it was really hard for me to really adjust everything, and really stressful to get everything done, and we didn't really make it on that time.</t>
  </si>
  <si>
    <t>Participant describes a specific stressful incident involving late notification and missed deadline, surfacing after a probe to elaborate.</t>
  </si>
  <si>
    <t>learning of urgent deliverable same-day while away made it impossible to finish on time</t>
  </si>
  <si>
    <t>in the end, it wasn't really done, and then we were looking at numbers that weren't really working out, despite our input. It was the correct input, to be fair, just there was... We would have needed another step to validate everything, and we didn't have the time for that.</t>
  </si>
  <si>
    <t>Participant discloses quality concern and defends their work ('correct input') while acknowledging the deliverable was incomplete.</t>
  </si>
  <si>
    <t>delivering unvalidated work because there wasn't time to check it properly</t>
  </si>
  <si>
    <t>usually deadlines change. It's hard to stay on top of everything when you don't know until when you have to finish something.</t>
  </si>
  <si>
    <t>Participant describes an ongoing friction around unpredictable deadlines affecting their ability to plan.</t>
  </si>
  <si>
    <t>not knowing deadlines in advance makes work unmanageable</t>
  </si>
  <si>
    <t>we are usually working past one o'clock in the morning to get everything done.</t>
  </si>
  <si>
    <t>Participant discloses a concrete work problem regarding extreme working hours.</t>
  </si>
  <si>
    <t>regularly working past 1am to meet deadlines</t>
  </si>
  <si>
    <t>what could definitely be improved is probably the stress level or the intensity of the work. So we are working long hours.</t>
  </si>
  <si>
    <t>Participant expresses a work concern but uses softening language ('probably') to introduce it.</t>
  </si>
  <si>
    <t>needing to reduce stress and intensity from long hours</t>
  </si>
  <si>
    <t>I don't think it's sustainable to work until 2:00 a.m. four days back to back, and sometimes even longer for other members of the team.</t>
  </si>
  <si>
    <t>Participant directly states a workload concern about extreme consecutive late nights, including concern for teammates.</t>
  </si>
  <si>
    <t>working until 2am four nights in a row is not sustainable</t>
  </si>
  <si>
    <t>I'm not 100% sure if it is sustainable. We've been working really long hours, I would say, also on Thursday.</t>
  </si>
  <si>
    <t>Participant hedges uncertainty ('not 100% sure') while expressing doubt about workload sustainability.</t>
  </si>
  <si>
    <t>unsure whether the current hours are sustainable</t>
  </si>
  <si>
    <t>it's not really plannable, so often there are new tasks coming in. Maybe you don't know how long you will take for the presentation. If we need another iteration, it's not that we just have to work until 1:00 a.m., but also that there's a lot of other stuff just coming up.</t>
  </si>
  <si>
    <t>Participant describes ongoing friction with unpredictable workload making planning impossible.</t>
  </si>
  <si>
    <t>unable to plan because tasks keep appearing unpredictably</t>
  </si>
  <si>
    <t>{"session_id": "e5ca65a1-ea75-409a-84e2-4e638d7cbed7", "quotes": [{"quote_text": "It was f- like, for me personally, it was, uh, sustainable in the last week. It was, I mean, a bit more stretched over the last two, three weeks, um, also going, you know, past, uh, past 11, et cetera, to bring in the, um, yeah, to, to get the results ready for business case submission.", "topic": "workload_sustainability", "first_order_code": "working past 11pm to meet submission deadline", "flagging_reason": "Describes a concrete work pattern that stretched sustainability limits, though softened by saying overall it's still sustainable.", "confidence": 0.85}, {"quote_text": "Villa Baby, sometimes leadership, leadership could, uh, engage, like, a bit more directly with the respective PLs or principals for the topics. And I feel like somehow currently it's a bit done through proxies, like either through the finance team or through Konstantin when he's managing the restructuring concept. I think maybe some more direct, um, kind of steering could be, could be helpful.", "topic": "leadership_engagement", "first_order_code": "leadership steering through proxies rather than directly", "flagging_reason": "Expresses a concern about leadership approach using hedging language like 'sometimes' and 'a bit more' to soften the critique.", "confidence": 0.9}, {"quote_text": "maybe as a team that we try to eliminate, um, kind of the finance team as m- m- much as a bottleneck as possible, you know. Like, because, um, it's just the case that they currently have a lot of things that only they can do, um, uh, which brings sometimes a bit of bottlenecking", "topic": "closing", "first_order_code": "finance team becoming a bottleneck because only they can do certain things", "flagging_reason": "Surfaces a team friction issue about workflow constraints, using tentative phrasing like 'maybe' and 'as a team' to distribute responsibility.", "confidence": 0.88}, {"quote_text": "it's also not, like, one, not good for the team, finance team itself, but, like, also the, the rest of the team, it's easier to, yeah, have then more accessibility also to them on, on topics which only they can do.", "topic": "closing", "first_order_code": "lack of accessibility to finance team on topics only they handle", "flagging_reason": "Describes a collaboration problem affecting multiple teams, framed empathetically to avoid blame.", "confidence": 0.82}]}</t>
  </si>
  <si>
    <t>it's also not, like, one, not good for the team, finance team itself, but, like, also the, the rest of the team, it's easier to, yeah, have then more accessibility also to them on, on topics which only they can do.</t>
  </si>
  <si>
    <t>Describes a collaboration problem affecting multiple teams, framed empathetically to avoid blame.</t>
  </si>
  <si>
    <t>lack of accessibility to finance team on topics only they handle</t>
  </si>
  <si>
    <t>maybe as a team that we try to eliminate, um, kind of the finance team as m- m- much as a bottleneck as possible, you know. Like, because, um, it's just the case that they currently have a lot of things that only they can do, um, uh, which brings sometimes a bit of bottlenecking</t>
  </si>
  <si>
    <t>Surfaces a team friction issue about workflow constraints, using tentative phrasing like 'maybe' and 'as a team' to distribute responsibility.</t>
  </si>
  <si>
    <t>finance team becoming a bottleneck because only they can do certain things</t>
  </si>
  <si>
    <t>Villa Baby, sometimes leadership, leadership could, uh, engage, like, a bit more directly with the respective PLs or principals for the topics. And I feel like somehow currently it's a bit done through proxies, like either through the finance team or through Konstantin when he's managing the restructuring concept. I think maybe some more direct, um, kind of steering could be, could be helpful.</t>
  </si>
  <si>
    <t>Expresses a concern about leadership approach using hedging language like 'sometimes' and 'a bit more' to soften the critique.</t>
  </si>
  <si>
    <t>leadership steering through proxies rather than directly</t>
  </si>
  <si>
    <t>It was f- like, for me personally, it was, uh, sustainable in the last week. It was, I mean, a bit more stretched over the last two, three weeks, um, also going, you know, past, uh, past 11, et cetera, to bring in the, um, yeah, to, to get the results ready for business case submission.</t>
  </si>
  <si>
    <t>Describes a concrete work pattern that stretched sustainability limits, though softened by saying overall it's still sustainable.</t>
  </si>
  <si>
    <t>working past 11pm to meet submission deadline</t>
  </si>
  <si>
    <t>{"session_id": "e7c564b7-0983-49d9-a3f9-4c15f946ffba", "quotes": [{"quote_text": "There's loads of things that could be improved, um, starting with how the work is split up between the different work streams to how much we commit as deliverables to begin with. To how we deal with deadlines, um, to how we communicate, um, with each other and show appreciation for the work that's being done, et cetera.", "topic": "overall_experience", "first_order_code": "multiple things need improving across workstreams and communication", "flagging_reason": "States a broad concern covering work distribution, deadlines, and team communication after noting what went well.", "confidence": 0.9}, {"quote_text": "On the other hand, however, it's also a, a commitment issue from, uh, the senior leadership to try and address this issue. I think there's little to no effort being made to try and, um, shift some of the work around between work streams", "topic": "overall_experience", "first_order_code": "senior leadership not committed to redistributing workload", "flagging_reason": "Directly criticizes senior leadership for making little to no effort to address work allocation problems.", "confidence": 0.95}, {"quote_text": "It's not been sustainable at all. Uh, we are working 3:00 a.m. shifts regularly, sometimes even 4:00 a.m. Um, we don't get enough sleep. Um, the days themselves are also still stressful. Uh, it's not a sustainable work mode.", "topic": "workload_sustainability", "first_order_code": "regularly working until 3 or 4am without enough sleep", "flagging_reason": "Describes extreme working hours and explicit lack of sustainability in concrete terms.", "confidence": 1.0}, {"quote_text": "I don't think over the entire case, uh, that we face a, a capacity shortage, but we definitely face a capacity shortage, um, within the financial steering team.", "topic": "workload_sustainability", "first_order_code": "reframing overall capacity as localized to financial steering team", "flagging_reason": "Narrows a broader project problem to one specific team, potentially deflecting from systemic issues.", "confidence": 0.85}, {"quote_text": "the financial steering team's just overworked. There's too many deliverables, too much pressure on them, um, and we are not able to finish that amount of work in a reasonable or sustainable... in a reasonable amount of time or in a sustainable working mode.", "topic": "workload_sustainability", "first_order_code": "too many deliverables creating unsustainable pressure", "flagging_reason": "States plainly that the team cannot complete the volume of work in a sustainable way.", "confidence": 0.95}, {"quote_text": "Something's gotta give, right? So, either we need to redistribute work amongst the other teams as well on our case, or we need to staff more people on this project, which I think is unlikely.", "topic": "workload_sustainability", "first_order_code": "seeing staffing increase as unlikely despite need", "flagging_reason": "Acknowledges a need for more resources but preemptively dismisses it as improbable, showing constrained options.", "confidence": 0.88}, {"quote_text": "I think we could provide some more pushback to some client requests, whether it's the level of detail in which we commit to delivering on them or the timelines by which we will submit them.", "topic": "client_value", "first_order_code": "not pushing back enough on client detail or timelines", "flagging_reason": "Identifies a gap in boundary-setting with clients that contributes to workload pressure.", "confidence": 0.9}, {"quote_text": "I don't know. I think they realized that we are d- like, uh, the financial steering team's delivering, uh, uh, quite sophisticated business planning, and, um, that, that's, that will work out hopefully. So I guess that they are hopefully satisfied with that, but I, I don't know.", "topic": "client_value", "first_order_code": "uncertain whether the client is actually satisfied", "flagging_reason": "Hedges repeatedly with 'I don't know' and 'hopefully,' showing lack of clarity on client perception.", "confidence": 0.82}, {"quote_text": "No.", "topic": "leadership_engagement", "first_order_code": "leadership did not engage sufficiently", "flagging_reason": "Blunt one-word response to a question about leadership engagement signals a clear concern before elaborating.", "confidence": 0.9}, {"quote_text": "They did engage to a limited extent, but I don't think... Uh, I do think there's still room to engage more with the team.", "topic": "leadership_engagement", "first_order_code": "leadership engaging only to a limited extent", "flagging_reason": "Softens the initial 'no' by acknowledging minimal effort but maintains the concern about insufficient engagement.", "confidence": 0.88}, {"quote_text": "I think they're, they're making an effort in terms of trying to show appreciation for the work we're doing, but I think we also gotta talk more specifically about things we can change and perspectives that will, um, help, especially the financial steering team, to feel like something will eventually change", "topic": "leadership_engagement", "first_order_code": "appreciation doesn't help without concrete changes to workload", "flagging_reason": "Qualifies leadership's efforts by saying symbolic appreciation is insufficient without action on sustainability.", "confidence": 0.92}, {"quote_text": "I think even if some more appreciation is being shown, it doesn't really help us in our daily doing, um, unless things start to look... uh, unless the workload will start to look more sustainable eventually.", "topic": "leadership_engagement", "first_order_code": "appreciation doesn't help us day-to-day unless workload changes", "flagging_reason": "Reiterates that symbolic gestures are ineffective without addressing the core workload problem.", "confidence": 0.93}, {"quote_text": "the way that this project's going for the financial steering team currently is not sustainable at all, and that, uh, we need, uh, to address it proactively.", "topic": "closing", "first_order_code": "current project trajectory is completely unsustainable", "flagging_reason": "Final summary statement emphasizing the urgency and severity of the sustainability concern.", "confidence": 0.95}]}</t>
  </si>
  <si>
    <t>I don't know. I think they realized that we are d- like, uh, the financial steering team's delivering, uh, uh, quite sophisticated business planning, and, um, that, that's, that will work out hopefully. So I guess that they are hopefully satisfied with that, but I, I don't know.</t>
  </si>
  <si>
    <t>Hedges repeatedly with 'I don't know' and 'hopefully,' showing lack of clarity on client perception.</t>
  </si>
  <si>
    <t>uncertain whether the client is actually satisfied</t>
  </si>
  <si>
    <t>I think we could provide some more pushback to some client requests, whether it's the level of detail in which we commit to delivering on them or the timelines by which we will submit them.</t>
  </si>
  <si>
    <t>Identifies a gap in boundary-setting with clients that contributes to workload pressure.</t>
  </si>
  <si>
    <t>not pushing back enough on client detail or timelines</t>
  </si>
  <si>
    <t>the way that this project's going for the financial steering team currently is not sustainable at all, and that, uh, we need, uh, to address it proactively.</t>
  </si>
  <si>
    <t>Final summary statement emphasizing the urgency and severity of the sustainability concern.</t>
  </si>
  <si>
    <t>current project trajectory is completely unsustainable</t>
  </si>
  <si>
    <t>I think even if some more appreciation is being shown, it doesn't really help us in our daily doing, um, unless things start to look... uh, unless the workload will start to look more sustainable eventually.</t>
  </si>
  <si>
    <t>Reiterates that symbolic gestures are ineffective without addressing the core workload problem.</t>
  </si>
  <si>
    <t>appreciation doesn't help us day-to-day unless workload changes</t>
  </si>
  <si>
    <t>I think they're, they're making an effort in terms of trying to show appreciation for the work we're doing, but I think we also gotta talk more specifically about things we can change and perspectives that will, um, help, especially the financial steering team, to feel like something will eventually change</t>
  </si>
  <si>
    <t>Qualifies leadership's efforts by saying symbolic appreciation is insufficient without action on sustainability.</t>
  </si>
  <si>
    <t>appreciation doesn't help without concrete changes to workload</t>
  </si>
  <si>
    <t>No.</t>
  </si>
  <si>
    <t>Blunt one-word response to a question about leadership engagement signals a clear concern before elaborating.</t>
  </si>
  <si>
    <t>leadership did not engage sufficiently</t>
  </si>
  <si>
    <t>They did engage to a limited extent, but I don't think... Uh, I do think there's still room to engage more with the team.</t>
  </si>
  <si>
    <t>Softens the initial 'no' by acknowledging minimal effort but maintains the concern about insufficient engagement.</t>
  </si>
  <si>
    <t>leadership engaging only to a limited extent</t>
  </si>
  <si>
    <t>On the other hand, however, it's also a, a commitment issue from, uh, the senior leadership to try and address this issue. I think there's little to no effort being made to try and, um, shift some of the work around between work streams</t>
  </si>
  <si>
    <t>Directly criticizes senior leadership for making little to no effort to address work allocation problems.</t>
  </si>
  <si>
    <t>senior leadership not committed to redistributing workload</t>
  </si>
  <si>
    <t>There's loads of things that could be improved, um, starting with how the work is split up between the different work streams to how much we commit as deliverables to begin with. To how we deal with deadlines, um, to how we communicate, um, with each other and show appreciation for the work that's being done, et cetera.</t>
  </si>
  <si>
    <t>States a broad concern covering work distribution, deadlines, and team communication after noting what went well.</t>
  </si>
  <si>
    <t>multiple things need improving across workstreams and communication</t>
  </si>
  <si>
    <t>I don't think over the entire case, uh, that we face a, a capacity shortage, but we definitely face a capacity shortage, um, within the financial steering team.</t>
  </si>
  <si>
    <t>Narrows a broader project problem to one specific team, potentially deflecting from systemic issues.</t>
  </si>
  <si>
    <t>reframing overall capacity as localized to financial steering team</t>
  </si>
  <si>
    <t>It's not been sustainable at all. Uh, we are working 3:00 a.m. shifts regularly, sometimes even 4:00 a.m. Um, we don't get enough sleep. Um, the days themselves are also still stressful. Uh, it's not a sustainable work mode.</t>
  </si>
  <si>
    <t>Describes extreme working hours and explicit lack of sustainability in concrete terms.</t>
  </si>
  <si>
    <t>regularly working until 3 or 4am without enough sleep</t>
  </si>
  <si>
    <t>Something's gotta give, right? So, either we need to redistribute work amongst the other teams as well on our case, or we need to staff more people on this project, which I think is unlikely.</t>
  </si>
  <si>
    <t>Acknowledges a need for more resources but preemptively dismisses it as improbable, showing constrained options.</t>
  </si>
  <si>
    <t>seeing staffing increase as unlikely despite need</t>
  </si>
  <si>
    <t>the financial steering team's just overworked. There's too many deliverables, too much pressure on them, um, and we are not able to finish that amount of work in a reasonable or sustainable... in a reasonable amount of time or in a sustainable working mode.</t>
  </si>
  <si>
    <t>States plainly that the team cannot complete the volume of work in a sustainable way.</t>
  </si>
  <si>
    <t>too many deliverables creating unsustainable pressure</t>
  </si>
  <si>
    <t>{"session_id": "e87e1d00-666f-4ad0-96cf-9bd7a0a049a3", "quotes": [{"quote_text": "I was allowed to be in the meeting alone. Like, I've on- I don't really know what to say.", "topic": "overall_experience", "first_order_code": "not knowing what to say about being in meetings alone", "flagging_reason": "The participant trails off and becomes uncertain when describing their experience of attending meetings independently, suggesting possible discomfort or guardedness.", "confidence": 0.72}, {"quote_text": "I don't know.", "topic": "overall_experience", "first_order_code": "closing off after trailing hesitation", "flagging_reason": "This marks a refusal to elaborate further after the participant struggled to articulate their experience, indicating possible withholding.", "confidence": 0.68}, {"quote_text": "I don't know.", "topic": "client_value", "first_order_code": "unable or unwilling to assess client value", "flagging_reason": "The participant deflects when asked about client value, offering no substantive response despite the direct prompt.", "confidence": 0.65}]}</t>
  </si>
  <si>
    <t>The participant deflects when asked about client value, offering no substantive response despite the direct prompt.</t>
  </si>
  <si>
    <t>unable or unwilling to assess client value</t>
  </si>
  <si>
    <t>This marks a refusal to elaborate further after the participant struggled to articulate their experience, indicating possible withholding.</t>
  </si>
  <si>
    <t>closing off after trailing hesitation</t>
  </si>
  <si>
    <t>I was allowed to be in the meeting alone. Like, I've on- I don't really know what to say.</t>
  </si>
  <si>
    <t>The participant trails off and becomes uncertain when describing their experience of attending meetings independently, suggesting possible discomfort or guardedness.</t>
  </si>
  <si>
    <t>not knowing what to say about being in meetings alone</t>
  </si>
  <si>
    <t>{"session_id": "e8ef8175-4432-455d-8c79-2aac070f411a", "quotes": [{"quote_text": "Sometimes I think, of course, the guidance from our requests can be a bit stronger so we don't work into the blue, if you know what I mean. Um, maybe that's something we can try to challenge a bit more.", "topic": "client_value", "first_order_code": "working without clear direction on requests", "flagging_reason": "Participant expresses a concern about insufficient guidance, softened with 'of course' and tentative language.", "confidence": 0.85}, {"quote_text": "I mean, sometimes I do feel that the requests don't have that much guidance, um, and I'm fine with working with little guidance, but sometimes, of course, it would just save some time if, if we have, like, one more loop or one more clearer, um, instruction on what we're looking for, so we don't, you know, s- m- waste a bit of time.", "topic": "leadership_engagement", "first_order_code": "working without clear direction on requests", "flagging_reason": "Participant raises a concern about guidance but immediately minimizes it by saying they're 'fine with' it and hedges with hesitant language.", "confidence": 0.9}]}</t>
  </si>
  <si>
    <t>Sometimes I think, of course, the guidance from our requests can be a bit stronger so we don't work into the blue, if you know what I mean. Um, maybe that's something we can try to challenge a bit more.</t>
  </si>
  <si>
    <t>Participant expresses a concern about insufficient guidance, softened with 'of course' and tentative language.</t>
  </si>
  <si>
    <t>working without clear direction on requests</t>
  </si>
  <si>
    <t>I mean, sometimes I do feel that the requests don't have that much guidance, um, and I'm fine with working with little guidance, but sometimes, of course, it would just save some time if, if we have, like, one more loop or one more clearer, um, instruction on what we're looking for, so we don't, you know, s- m- waste a bit of time.</t>
  </si>
  <si>
    <t>Participant raises a concern about guidance but immediately minimizes it by saying they're 'fine with' it and hedges with hesitant language.</t>
  </si>
  <si>
    <t>{"session_id": "ede35370-57da-48d3-87c2-2822535f7f96", "quotes": [{"quote_text": "I think the process towards that deliverable was not as it should be. The... Yeah, I think we're not sufficient capacities allocated to this topic.", "topic": "overall_experience", "first_order_code": "not enough people assigned to the workstream", "flagging_reason": "States a resource allocation problem that created difficulty in the delivery process.", "confidence": 0.95}, {"quote_text": "I think some people who should have delivered, um, earlier or some streams that should have delivered didn't deliver, and, uh, there were no consequences based on that.", "topic": "overall_experience", "first_order_code": "other streams not delivering on time with no consequences", "flagging_reason": "Raises a concern about accountability gaps and uneven contribution across the team.", "confidence": 0.95}, {"quote_text": "And in addition, I also think that afterwards, there was absolutely no appreciation whatsoever by our MDP leadership. Quite different to the PBPLs who did express their gratitude.", "topic": "overall_experience", "first_order_code": "no appreciation from MDP leadership after intense delivery", "flagging_reason": "Expresses disappointment about lack of recognition from senior leadership despite expressing it was available from others.", "confidence": 1.0}, {"quote_text": "I think that, um, capacities are more aligned to commercial interest than actual work being done. So some streams just get more capacities because there's the thought that, um, those capacities can be more easily justifiable in those streams, um, towards the client, and therefore represent an important commercial incentive.", "topic": "overall_experience", "first_order_code": "staffing driven by what's billable rather than actual workload", "flagging_reason": "Explains a systemic problem where resource decisions prioritize commercial justification over work need.", "confidence": 0.9}, {"quote_text": "However, there are streams that do the most works, or that do the most work, are not, um, uh, such long-term streams, and therefore do not have the same commercial long-term interest and perspective, and therefore do not get the capacities allocated.", "topic": "overall_experience", "first_order_code": "doing the most work but not getting resources because no long-term billing", "flagging_reason": "Identifies being under-resourced due to commercial logic despite carrying the heaviest workload.", "confidence": 0.95}, {"quote_text": "And in addition, also some streams did receive responsibilities, but simply did not deliver in the way that it should be expected, so to say that the deliverables were simply not in a format that they could directly be taken, and therefore that also creates and created additional work.", "topic": "overall_experience", "first_order_code": "other streams delivering unusable work that creates extra work for us", "flagging_reason": "Describes how poor quality output from others compounds the workload problem.", "confidence": 0.9}, {"quote_text": "It didn't feel particularly sustainable. Um, I think it was very long hours, firstly, for most of the, or for the entirety of the week.", "topic": "workload_sustainability", "first_order_code": "very long hours all week felt unsustainable", "flagging_reason": "Directly states that the workload pattern did not feel sustainable.", "confidence": 1.0}, {"quote_text": "Friday, in addition, was all to just being long hours, it's also highly stressful hours, because, um, yeah, it's always extremely urgent what we are doing, often contradicts previously communicated timelines, and therefore creates additional stretch.", "topic": "workload_sustainability", "first_order_code": "deadlines constantly shifting from what was previously communicated", "flagging_reason": "Points to a recurring pattern of timeline changes that increase stress and workload unpredictability.", "confidence": 0.95}, {"quote_text": "And, um, yeah, I also had to work on the weekend, which was then just like the icing on the cake, but in a negative way.", "topic": "workload_sustainability", "first_order_code": "working on the weekend on top of everything else", "flagging_reason": "Describes weekend work as a breaking point following an already unsustainable week.", "confidence": 1.0}, {"quote_text": "However, they've also, to some degree, just grown accustomed to being able to ask for such timeline shifts or, usually speaking, um, pulling, uh, pulling deadlines forward, and there's never been any pushback from our side towards these requests.", "topic": "workload_sustainability", "first_order_code": "never pushing back when clients move deadlines earlier", "flagging_reason": "Attributes the workload problem partly to internal failure to set boundaries with client requests.", "confidence": 0.9}, {"quote_text": "And as a consequence, then that just, um, leads to the current working ways and current constantly working against accelerated timelines.", "topic": "workload_sustainability", "first_order_code": "constantly working against accelerated timelines", "flagging_reason": "Summarizes the resulting pattern as an ongoing structural problem with how work is scheduled.", "confidence": 0.85}, {"quote_text": "Still, I think that often we are taking on too much work and work that should not be done by us. Um, and that then creates the stretch in addition to simply not being staffed in accordance with the required capacities.", "topic": "client_value", "first_order_code": "taking on work that shouldn't be our responsibility", "flagging_reason": "Identifies scope creep as a compounding factor alongside understaffing.", "confidence": 0.95}, {"quote_text": "Um, as usual, it feels like there's no engagement by MDPs. Um, yeah, we're just doing our work. Um, I'm unsure if it's actually noticed what we are doing.", "topic": "leadership_engagement", "first_order_code": "not sure leadership even notices what we're doing", "flagging_reason": "Expresses uncertainty about whether senior leaders are aware of the team's work at all.", "confidence": 1.0}, {"quote_text": "Uh, there's no thank you, no appreciation whatsoever. It just seems like it's taken for granted. Although, quite frankly, we are the key backbone of the commercial success.", "topic": "leadership_engagement", "first_order_code": "our work taken for granted despite being backbone of commercial success", "flagging_reason": "Contrasts the team's contribution with the absence of recognition, expressing frustration.", "confidence": 1.0}, {"quote_text": "But at least from my personal perspective, I...have not received any sign from leadership that my work would be recognized, appreciated, um, in any shape or form. But instead, it just feels like it is taken as a given, um, and that makes it extremely frustrating.", "topic": "leadership_engagement", "first_order_code": "no sign my work is recognized and it's extremely frustrating", "flagging_reason": "Personalizes the recognition gap and explicitly names the emotional impact as extreme frustration.", "confidence": 1.0}, {"quote_text": "I mean, I don't get the sense that when our MDPs get involved that it becomes in any shape or form more helpful. So, I think the level of constructive and easily adaptable feedback is actually very limited whenever they once in a while do engage.", "topic": "leadership_engagement", "first_order_code": "MDP feedback not constructive or useful on the rare occasions they engage", "flagging_reason": "Criticizes both the infrequency and the quality of leadership input when it does occur.", "confidence": 0.95}, {"quote_text": "However, I think generally speaking, um, just from an e- appreciation and also from a transparency decision-making standpoint and over-arching steering, uh, viewpoint, it would be super helpful to get some additional insights from leadership and kind of understand the overarching motivations, what is driving their decision-making, for example, with regards to capacity allocation, for example, with regards to constantly accepting accelerated timelines.", "topic": "leadership_engagement", "first_order_code": "not understanding the reasoning behind capacity and timeline decisions", "flagging_reason": "Identifies a transparency gap around strategic decisions that directly affect workload sustainability.", "confidence": 0.9}, {"quote_text": "Or if for them it's just, um, like accepted that this is now our way of working.", "topic": "leadership_engagement", "first_order_code": "wondering if leadership just accepts this as how we work now", "flagging_reason": "Expresses uncertainty about whether leadership sees the current unsustainable pattern as a problem or the new normal.", "confidence": 0.85}, {"quote_text": "I think one positive point is that at the very least, um, leadership now seems more open to, to letting long-term staffed, uh, associates and consultants leave the case. I think that is, um, at the very least a positive, because for a long time, it also felt like this was, uh, not an option at all.", "topic": "closing", "first_order_code": "leaving the case previously felt like not an option at all", "flagging_reason": "A positive framing reveals an earlier constraint: people feeling trapped on the project with no exit possible.", "confidence": 0.9}]}</t>
  </si>
  <si>
    <t>Still, I think that often we are taking on too much work and work that should not be done by us. Um, and that then creates the stretch in addition to simply not being staffed in accordance with the required capacities.</t>
  </si>
  <si>
    <t>Identifies scope creep as a compounding factor alongside understaffing.</t>
  </si>
  <si>
    <t>taking on work that shouldn't be our responsibility</t>
  </si>
  <si>
    <t>I think one positive point is that at the very least, um, leadership now seems more open to, to letting long-term staffed, uh, associates and consultants leave the case. I think that is, um, at the very least a positive, because for a long time, it also felt like this was, uh, not an option at all.</t>
  </si>
  <si>
    <t>A positive framing reveals an earlier constraint: people feeling trapped on the project with no exit possible.</t>
  </si>
  <si>
    <t>leaving the case previously felt like not an option at all</t>
  </si>
  <si>
    <t>But at least from my personal perspective, I...have not received any sign from leadership that my work would be recognized, appreciated, um, in any shape or form. But instead, it just feels like it is taken as a given, um, and that makes it extremely frustrating.</t>
  </si>
  <si>
    <t>Personalizes the recognition gap and explicitly names the emotional impact as extreme frustration.</t>
  </si>
  <si>
    <t>no sign my work is recognized and it's extremely frustrating</t>
  </si>
  <si>
    <t>However, I think generally speaking, um, just from an e- appreciation and also from a transparency decision-making standpoint and over-arching steering, uh, viewpoint, it would be super helpful to get some additional insights from leadership and kind of understand the overarching motivations, what is driving their decision-making, for example, with regards to capacity allocation, for example, with regards to constantly accepting accelerated timelines.</t>
  </si>
  <si>
    <t>Identifies a transparency gap around strategic decisions that directly affect workload sustainability.</t>
  </si>
  <si>
    <t>not understanding the reasoning behind capacity and timeline decisions</t>
  </si>
  <si>
    <t>I mean, I don't get the sense that when our MDPs get involved that it becomes in any shape or form more helpful. So, I think the level of constructive and easily adaptable feedback is actually very limited whenever they once in a while do engage.</t>
  </si>
  <si>
    <t>Criticizes both the infrequency and the quality of leadership input when it does occur.</t>
  </si>
  <si>
    <t>MDP feedback not constructive or useful on the rare occasions they engage</t>
  </si>
  <si>
    <t>Or if for them it's just, um, like accepted that this is now our way of working.</t>
  </si>
  <si>
    <t>Expresses uncertainty about whether leadership sees the current unsustainable pattern as a problem or the new normal.</t>
  </si>
  <si>
    <t>wondering if leadership just accepts this as how we work now</t>
  </si>
  <si>
    <t>Uh, there's no thank you, no appreciation whatsoever. It just seems like it's taken for granted. Although, quite frankly, we are the key backbone of the commercial success.</t>
  </si>
  <si>
    <t>Contrasts the team's contribution with the absence of recognition, expressing frustration.</t>
  </si>
  <si>
    <t>our work taken for granted despite being backbone of commercial success</t>
  </si>
  <si>
    <t>Um, as usual, it feels like there's no engagement by MDPs. Um, yeah, we're just doing our work. Um, I'm unsure if it's actually noticed what we are doing.</t>
  </si>
  <si>
    <t>Expresses uncertainty about whether senior leaders are aware of the team's work at all.</t>
  </si>
  <si>
    <t>not sure leadership even notices what we're doing</t>
  </si>
  <si>
    <t>And in addition, I also think that afterwards, there was absolutely no appreciation whatsoever by our MDP leadership. Quite different to the PBPLs who did express their gratitude.</t>
  </si>
  <si>
    <t>Expresses disappointment about lack of recognition from senior leadership despite expressing it was available from others.</t>
  </si>
  <si>
    <t>no appreciation from MDP leadership after intense delivery</t>
  </si>
  <si>
    <t>And in addition, also some streams did receive responsibilities, but simply did not deliver in the way that it should be expected, so to say that the deliverables were simply not in a format that they could directly be taken, and therefore that also creates and created additional work.</t>
  </si>
  <si>
    <t>Describes how poor quality output from others compounds the workload problem.</t>
  </si>
  <si>
    <t>other streams delivering unusable work that creates extra work for us</t>
  </si>
  <si>
    <t>However, there are streams that do the most works, or that do the most work, are not, um, uh, such long-term streams, and therefore do not have the same commercial long-term interest and perspective, and therefore do not get the capacities allocated.</t>
  </si>
  <si>
    <t>Identifies being under-resourced due to commercial logic despite carrying the heaviest workload.</t>
  </si>
  <si>
    <t>doing the most work but not getting resources because no long-term billing</t>
  </si>
  <si>
    <t>I think some people who should have delivered, um, earlier or some streams that should have delivered didn't deliver, and, uh, there were no consequences based on that.</t>
  </si>
  <si>
    <t>Raises a concern about accountability gaps and uneven contribution across the team.</t>
  </si>
  <si>
    <t>other streams not delivering on time with no consequences</t>
  </si>
  <si>
    <t>I think that, um, capacities are more aligned to commercial interest than actual work being done. So some streams just get more capacities because there's the thought that, um, those capacities can be more easily justifiable in those streams, um, towards the client, and therefore represent an important commercial incentive.</t>
  </si>
  <si>
    <t>Explains a systemic problem where resource decisions prioritize commercial justification over work need.</t>
  </si>
  <si>
    <t>staffing driven by what's billable rather than actual workload</t>
  </si>
  <si>
    <t>I think the process towards that deliverable was not as it should be. The... Yeah, I think we're not sufficient capacities allocated to this topic.</t>
  </si>
  <si>
    <t>States a resource allocation problem that created difficulty in the delivery process.</t>
  </si>
  <si>
    <t>not enough people assigned to the workstream</t>
  </si>
  <si>
    <t>And as a consequence, then that just, um, leads to the current working ways and current constantly working against accelerated timelines.</t>
  </si>
  <si>
    <t>Summarizes the resulting pattern as an ongoing structural problem with how work is scheduled.</t>
  </si>
  <si>
    <t>constantly working against accelerated timelines</t>
  </si>
  <si>
    <t>And, um, yeah, I also had to work on the weekend, which was then just like the icing on the cake, but in a negative way.</t>
  </si>
  <si>
    <t>Describes weekend work as a breaking point following an already unsustainable week.</t>
  </si>
  <si>
    <t>working on the weekend on top of everything else</t>
  </si>
  <si>
    <t>Friday, in addition, was all to just being long hours, it's also highly stressful hours, because, um, yeah, it's always extremely urgent what we are doing, often contradicts previously communicated timelines, and therefore creates additional stretch.</t>
  </si>
  <si>
    <t>Points to a recurring pattern of timeline changes that increase stress and workload unpredictability.</t>
  </si>
  <si>
    <t>deadlines constantly shifting from what was previously communicated</t>
  </si>
  <si>
    <t>However, they've also, to some degree, just grown accustomed to being able to ask for such timeline shifts or, usually speaking, um, pulling, uh, pulling deadlines forward, and there's never been any pushback from our side towards these requests.</t>
  </si>
  <si>
    <t>Attributes the workload problem partly to internal failure to set boundaries with client requests.</t>
  </si>
  <si>
    <t>never pushing back when clients move deadlines earlier</t>
  </si>
  <si>
    <t>It didn't feel particularly sustainable. Um, I think it was very long hours, firstly, for most of the, or for the entirety of the week.</t>
  </si>
  <si>
    <t>Directly states that the workload pattern did not feel sustainable.</t>
  </si>
  <si>
    <t>very long hours all week felt unsustainable</t>
  </si>
  <si>
    <t>{"session_id": "f33e0bf3-4516-4144-b990-302035ad33c3", "quotes": [{"quote_text": "we have frequently pulled forward deadlines to an earlier date over the past weeks, which caused quite some stress at times, not only because it forces us to accelerate our work, but also to, at times, submit work that we haven't fully sense-checked, for example, ourselves, and that will almost by definition contain some errors that we eventually will need to even out", "topic": "overall_experience", "first_order_code": "submitting unchecked work with errors due to moved-up deadlines", "flagging_reason": "Describes a work problem (deadline acceleration) that creates quality issues and stress.", "confidence": 0.95}, {"quote_text": "we have a quite uneven distribution of work across workstreams, I'd say, and our financial steering workstream has continuously been working super late hours for weeks, and it seems to be more of a structural problem than a one-off situation", "topic": "overall_experience", "first_order_code": "one workstream working super late for weeks as a structural problem", "flagging_reason": "States a persistent workload concern affecting a specific team segment.", "confidence": 0.9}, {"quote_text": "I think we should try and kind of balance the demands of our clients in kind of the high-pressure situation that they're facing also against the team's needs. And I think that we currently tend to comply with any demands our client requests of us without much pushback, and that backfire on the team", "topic": "overall_experience", "first_order_code": "complying with all client demands without pushback backfires on the team", "flagging_reason": "Identifies a management decision pattern that harms the team.", "confidence": 0.95}, {"quote_text": "I don't know how transparent it is, like, to the leadership or, like, senior leadership on our team, just how complex some of the work is that we're doing", "topic": "overall_experience", "first_order_code": "unsure if leadership knows how complex the work actually is", "flagging_reason": "Expresses uncertainty about whether leadership understands the team's challenges, using hedging language.", "confidence": 0.85}, {"quote_text": "we are kind of dependent on some of the other workstreams when it comes to data delivery or being provided with data inputs. And whenever there's any delay in another workstream, that kind of shows up on our end", "topic": "overall_experience", "first_order_code": "delays from other workstreams show up as problems on our end", "flagging_reason": "Describes a structural friction point between teams that affects their work.", "confidence": 0.85}, {"quote_text": "we've had multiple weeks now where we did not only go into PTO red times, but we went above, like, 3:00 AMs in the morning, for multiple days in a row at times, where we frequent work not only late on Thursdays and Fridays, but also weekends. And we do that not in a relaxing pace, but often in a with a lot of pressure throughout any given individual day as well. So, that is not sustainable", "topic": "workload_sustainability", "first_order_code": "working past 3am multiple days in a row including weekends under pressure", "flagging_reason": "Explicitly describes unsustainable working hours with concrete detail.", "confidence": 0.95}, {"quote_text": "Well, the way your body feels.", "topic": "workload_sustainability", "first_order_code": "knowing from how the body feels", "flagging_reason": "Brief reference to physical toll of workload, immediately followed by refusal to elaborate.", "confidence": 0.8}, {"quote_text": "I don't want to expand on that.", "topic": "workload_sustainability", "first_order_code": "declining to say more about physical effects", "flagging_reason": "Explicit refusal to disclose further detail after mentioning bodily impact.", "confidence": 0.95}, {"quote_text": "those timeline accelerations sometimes lead to a situation where we submit one piece of work or like a certain data output without having fully validated it. And then in the end, whenever we submit, say, not a draft version, but like the second draft or like third draft or pre-final version, whatever it is, we'll have to explain deltas versus previous versions that would not exist if we had just taken more time previously before we sent any document to the client", "topic": "client_value", "first_order_code": "having to explain version differences that wouldn't exist with more time", "flagging_reason": "Describes how rushed timelines create client-facing quality problems that require awkward explanations.", "confidence": 0.9}, {"quote_text": "I'd say in general, like, we do our best to try and be focused on like, I think we, we do our best to, like, deliver on the requests that are brought towards us. But I think the requests themselves, and the frequency at which we have to submit output, that's the problem", "topic": "client_value", "first_order_code": "reframing quality concerns as a problem with request frequency not team effort", "flagging_reason": "Uses self-protective language ('we do our best') then redirects blame from team to external request pattern.", "confidence": 0.85}, {"quote_text": "over the last week, I don't think that the leadership or senior leadership engagement was particularly high. Even though our, like, more junior leadership was quite present", "topic": "leadership_engagement", "first_order_code": "senior leadership not particularly engaged though junior leadership was present", "flagging_reason": "States a concern about low senior leadership involvement while softening it with a qualifier about junior leaders.", "confidence": 0.85}]}</t>
  </si>
  <si>
    <t>I'd say in general, like, we do our best to try and be focused on like, I think we, we do our best to, like, deliver on the requests that are brought towards us. But I think the requests themselves, and the frequency at which we have to submit output, that's the problem</t>
  </si>
  <si>
    <t>Uses self-protective language ('we do our best') then redirects blame from team to external request pattern.</t>
  </si>
  <si>
    <t>reframing quality concerns as a problem with request frequency not team effort</t>
  </si>
  <si>
    <t>those timeline accelerations sometimes lead to a situation where we submit one piece of work or like a certain data output without having fully validated it. And then in the end, whenever we submit, say, not a draft version, but like the second draft or like third draft or pre-final version, whatever it is, we'll have to explain deltas versus previous versions that would not exist if we had just taken more time previously before we sent any document to the client</t>
  </si>
  <si>
    <t>Describes how rushed timelines create client-facing quality problems that require awkward explanations.</t>
  </si>
  <si>
    <t>having to explain version differences that wouldn't exist with more time</t>
  </si>
  <si>
    <t>over the last week, I don't think that the leadership or senior leadership engagement was particularly high. Even though our, like, more junior leadership was quite present</t>
  </si>
  <si>
    <t>States a concern about low senior leadership involvement while softening it with a qualifier about junior leaders.</t>
  </si>
  <si>
    <t>senior leadership not particularly engaged though junior leadership was present</t>
  </si>
  <si>
    <t>I don't know how transparent it is, like, to the leadership or, like, senior leadership on our team, just how complex some of the work is that we're doing</t>
  </si>
  <si>
    <t>Expresses uncertainty about whether leadership understands the team's challenges, using hedging language.</t>
  </si>
  <si>
    <t>unsure if leadership knows how complex the work actually is</t>
  </si>
  <si>
    <t>I think we should try and kind of balance the demands of our clients in kind of the high-pressure situation that they're facing also against the team's needs. And I think that we currently tend to comply with any demands our client requests of us without much pushback, and that backfire on the team</t>
  </si>
  <si>
    <t>Identifies a management decision pattern that harms the team.</t>
  </si>
  <si>
    <t>complying with all client demands without pushback backfires on the team</t>
  </si>
  <si>
    <t>we are kind of dependent on some of the other workstreams when it comes to data delivery or being provided with data inputs. And whenever there's any delay in another workstream, that kind of shows up on our end</t>
  </si>
  <si>
    <t>Describes a structural friction point between teams that affects their work.</t>
  </si>
  <si>
    <t>delays from other workstreams show up as problems on our end</t>
  </si>
  <si>
    <t>we have a quite uneven distribution of work across workstreams, I'd say, and our financial steering workstream has continuously been working super late hours for weeks, and it seems to be more of a structural problem than a one-off situation</t>
  </si>
  <si>
    <t>States a persistent workload concern affecting a specific team segment.</t>
  </si>
  <si>
    <t>one workstream working super late for weeks as a structural problem</t>
  </si>
  <si>
    <t>we have frequently pulled forward deadlines to an earlier date over the past weeks, which caused quite some stress at times, not only because it forces us to accelerate our work, but also to, at times, submit work that we haven't fully sense-checked, for example, ourselves, and that will almost by definition contain some errors that we eventually will need to even out</t>
  </si>
  <si>
    <t>Describes a work problem (deadline acceleration) that creates quality issues and stress.</t>
  </si>
  <si>
    <t>submitting unchecked work with errors due to moved-up deadlines</t>
  </si>
  <si>
    <t>I don't want to expand on that.</t>
  </si>
  <si>
    <t>Explicit refusal to disclose further detail after mentioning bodily impact.</t>
  </si>
  <si>
    <t>declining to say more about physical effects</t>
  </si>
  <si>
    <t>Well, the way your body feels.</t>
  </si>
  <si>
    <t>Brief reference to physical toll of workload, immediately followed by refusal to elaborate.</t>
  </si>
  <si>
    <t>knowing from how the body feels</t>
  </si>
  <si>
    <t>we've had multiple weeks now where we did not only go into PTO red times, but we went above, like, 3:00 AMs in the morning, for multiple days in a row at times, where we frequent work not only late on Thursdays and Fridays, but also weekends. And we do that not in a relaxing pace, but often in a with a lot of pressure throughout any given individual day as well. So, that is not sustainable</t>
  </si>
  <si>
    <t>Explicitly describes unsustainable working hours with concrete detail.</t>
  </si>
  <si>
    <t>working past 3am multiple days in a row including weekends under pressure</t>
  </si>
  <si>
    <t>{"session_id": "f3e98fb5-c7c7-4918-b1e7-69c34bbcba18", "quotes": [{"quote_text": "I heard from other team members that sometimes they have calls scheduled with some more senior leadership part to get input, and the person did not join.", "topic": "leadership_engagement", "first_order_code": "senior leaders not showing up to scheduled input calls", "flagging_reason": "Reports a concrete problem with leadership availability that complicates work, hedged by attributing it to what other team members said rather than personal experience.", "confidence": 0.92}, {"quote_text": "so of course this complicates the work", "topic": "leadership_engagement", "first_order_code": "no-shows complicating the work", "flagging_reason": "Acknowledges a direct negative impact on work delivery, softened with 'of course' to minimize the complaint.", "confidence": 0.88}]}</t>
  </si>
  <si>
    <t>I heard from other team members that sometimes they have calls scheduled with some more senior leadership part to get input, and the person did not join.</t>
  </si>
  <si>
    <t>Reports a concrete problem with leadership availability that complicates work, hedged by attributing it to what other team members said rather than personal experience.</t>
  </si>
  <si>
    <t>senior leaders not showing up to scheduled input calls</t>
  </si>
  <si>
    <t>so of course this complicates the work</t>
  </si>
  <si>
    <t>Acknowledges a direct negative impact on work delivery, softened with 'of course' to minimize the complaint.</t>
  </si>
  <si>
    <t>no-shows complicating the work</t>
  </si>
  <si>
    <t>{"session_id": "f3ee527d-8012-4957-ab38-4a2101631b9c", "quotes": [{"quote_text": "there is slight, um, problems, I believe, with, um, how, um, how much time our leadership has with us, so I'm, like, pretty much working on my own", "topic": "overall_experience", "first_order_code": "working mostly alone because leadership has little time", "flagging_reason": "Expresses a problem with leadership availability using softening language ('slight problems') before describing being left to work independently.", "confidence": 0.95}, {"quote_text": "They try to support us and we try to talk about communication, but it's just, um, a challenging situation", "topic": "overall_experience", "first_order_code": "acknowledging effort but still calling it challenging", "flagging_reason": "Softens criticism by crediting leadership's attempt before labeling the situation as challenging.", "confidence": 0.85}, {"quote_text": "I believe the constraint in, um, in leadership availability. So we had one partner, um, on multiple streams who is also in a lot of meetings with, um, senior leadership on the customer side, so he's not available for the working team as much.", "topic": "overall_experience", "first_order_code": "partner unavailable due to being spread across streams and client meetings", "flagging_reason": "Identifies a work constraint by explaining why leadership is not accessible to the working team.", "confidence": 0.9}, {"quote_text": "we work, um, past, um, 10:00, around 11:00, 11:30 usually. I think that's longer than usual", "topic": "workload_sustainability", "first_order_code": "working until 11 or 11:30 which is longer than usual", "flagging_reason": "Acknowledges working late hours while minimizing by comparing to finance team who work even later.", "confidence": 0.9}, {"quote_text": "I think also within our team, it's not quite fairly dispersed", "topic": "workload_sustainability", "first_order_code": "workload not fairly distributed across the team", "flagging_reason": "Surfaces a concern about unequal work distribution using hedging language ('not quite').", "confidence": 0.85}, {"quote_text": "there is some misalignment between especially the restructuring team and the transformation team in terms of, again, we're having, we're having a sinking ship. Um, how much do we actually have to focus on the strategy after 2030?", "topic": "client_value", "first_order_code": "misalignment between teams about strategy priorities on a sinking ship", "flagging_reason": "Identifies friction between teams using stark metaphor ('sinking ship') while framing it as a strategic misalignment.", "confidence": 0.9}]}</t>
  </si>
  <si>
    <t>there is some misalignment between especially the restructuring team and the transformation team in terms of, again, we're having, we're having a sinking ship. Um, how much do we actually have to focus on the strategy after 2030?</t>
  </si>
  <si>
    <t>Identifies friction between teams using stark metaphor ('sinking ship') while framing it as a strategic misalignment.</t>
  </si>
  <si>
    <t>misalignment between teams about strategy priorities on a sinking ship</t>
  </si>
  <si>
    <t>I believe the constraint in, um, in leadership availability. So we had one partner, um, on multiple streams who is also in a lot of meetings with, um, senior leadership on the customer side, so he's not available for the working team as much.</t>
  </si>
  <si>
    <t>Identifies a work constraint by explaining why leadership is not accessible to the working team.</t>
  </si>
  <si>
    <t>partner unavailable due to being spread across streams and client meetings</t>
  </si>
  <si>
    <t>They try to support us and we try to talk about communication, but it's just, um, a challenging situation</t>
  </si>
  <si>
    <t>Softens criticism by crediting leadership's attempt before labeling the situation as challenging.</t>
  </si>
  <si>
    <t>acknowledging effort but still calling it challenging</t>
  </si>
  <si>
    <t>there is slight, um, problems, I believe, with, um, how, um, how much time our leadership has with us, so I'm, like, pretty much working on my own</t>
  </si>
  <si>
    <t>Expresses a problem with leadership availability using softening language ('slight problems') before describing being left to work independently.</t>
  </si>
  <si>
    <t>working mostly alone because leadership has little time</t>
  </si>
  <si>
    <t>I think also within our team, it's not quite fairly dispersed</t>
  </si>
  <si>
    <t>Surfaces a concern about unequal work distribution using hedging language ('not quite').</t>
  </si>
  <si>
    <t>workload not fairly distributed across the team</t>
  </si>
  <si>
    <t>we work, um, past, um, 10:00, around 11:00, 11:30 usually. I think that's longer than usual</t>
  </si>
  <si>
    <t>Acknowledges working late hours while minimizing by comparing to finance team who work even later.</t>
  </si>
  <si>
    <t>working until 11 or 11:30 which is longer than usual</t>
  </si>
  <si>
    <t>{"session_id": "f6d4557f-cf14-4e3c-84f4-53a7a8b74b29", "quotes": [{"quote_text": "the working times weren't, uh, uh, yeah, were actually quite long, but it, uh, like, felt overall sustainable because of the good team atmosphere", "topic": "workload_sustainability", "first_order_code": "long hours made bearable by team atmosphere", "flagging_reason": "Participant acknowledges long working times as a concern but immediately softens it by attributing sustainability to team dynamics rather than the hours themselves.", "confidence": 0.85}]}</t>
  </si>
  <si>
    <t>the working times weren't, uh, uh, yeah, were actually quite long, but it, uh, like, felt overall sustainable because of the good team atmosphere</t>
  </si>
  <si>
    <t>Participant acknowledges long working times as a concern but immediately softens it by attributing sustainability to team dynamics rather than the hours themselves.</t>
  </si>
  <si>
    <t>long hours made bearable by team atmosphere</t>
  </si>
  <si>
    <t>{"session_id": "fb191644-3ad5-4dc7-893a-f62316073aaa", "quotes": [{"quote_text": "I think what we can improve at some point is load balancing. So I felt that some team members had more on their plate than others, and I think in future, we can improve a bit on that.", "topic": "overall_experience", "first_order_code": "uneven workload distribution across team members", "flagging_reason": "Identifies a workplace problem (unequal task allocation) while softening it with future-oriented framing.", "confidence": 0.95}, {"quote_text": "But please really use this information confidentially and don't write it one-to-one in the, in the transcripts or in the dis- uh, in the results of the survey.", "topic": "overall_experience", "first_order_code": "requesting confidentiality for what was just shared", "flagging_reason": "Shows concern about who will see the disclosure and how it will be recorded, immediately after raising a team concern.", "confidence": 1.0}, {"quote_text": "No, I'm not comfortable doing that.", "topic": "overall_experience", "first_order_code": "declining to give a specific example when asked", "flagging_reason": "Explicit refusal to provide details in response to an agent probe about the workload imbalance concern.", "confidence": 1.0}, {"quote_text": "I mean, it was, it was a lot to do, but I think, yeah, I don't know, being able to, to work, not work through the night. I mean, obviously, that's a good sign.", "topic": "workload_sustainability", "first_order_code": "acknowledging heavy workload but minimizing by citing no all-nighters", "flagging_reason": "Admits the workload was high but immediately hedges and reframes not working through the night as proof it was acceptable.", "confidence": 0.9}, {"quote_text": "regarding the entire, um, prioritization of balancing topic, I think, you know, it makes sense to really evaluate when are the deadlines of specific tasks, and if one task is very urgent and takes quite a long time, it might even make sense to, to also take that into account, um, besides the absolute number of tasks. Again, please really use this confidentially.", "topic": "client_value", "first_order_code": "suggesting task allocation should account for urgency and duration", "flagging_reason": "Raises the workload balancing concern again in a different topic area, followed by a second explicit request for confidentiality.", "confidence": 0.92}]}</t>
  </si>
  <si>
    <t>regarding the entire, um, prioritization of balancing topic, I think, you know, it makes sense to really evaluate when are the deadlines of specific tasks, and if one task is very urgent and takes quite a long time, it might even make sense to, to also take that into account, um, besides the absolute number of tasks. Again, please really use this confidentially.</t>
  </si>
  <si>
    <t>Raises the workload balancing concern again in a different topic area, followed by a second explicit request for confidentiality.</t>
  </si>
  <si>
    <t>suggesting task allocation should account for urgency and duration</t>
  </si>
  <si>
    <t>But please really use this information confidentially and don't write it one-to-one in the, in the transcripts or in the dis- uh, in the results of the survey.</t>
  </si>
  <si>
    <t>Shows concern about who will see the disclosure and how it will be recorded, immediately after raising a team concern.</t>
  </si>
  <si>
    <t>requesting confidentiality for what was just shared</t>
  </si>
  <si>
    <t>Managing traceability and exposure</t>
  </si>
  <si>
    <t>I think what we can improve at some point is load balancing. So I felt that some team members had more on their plate than others, and I think in future, we can improve a bit on that.</t>
  </si>
  <si>
    <t>Identifies a workplace problem (unequal task allocation) while softening it with future-oriented framing.</t>
  </si>
  <si>
    <t>uneven workload distribution across team members</t>
  </si>
  <si>
    <t>No, I'm not comfortable doing that.</t>
  </si>
  <si>
    <t>Explicit refusal to provide details in response to an agent probe about the workload imbalance concern.</t>
  </si>
  <si>
    <t>declining to give a specific example when asked</t>
  </si>
  <si>
    <t>I mean, it was, it was a lot to do, but I think, yeah, I don't know, being able to, to work, not work through the night. I mean, obviously, that's a good sign.</t>
  </si>
  <si>
    <t>Admits the workload was high but immediately hedges and reframes not working through the night as proof it was acceptable.</t>
  </si>
  <si>
    <t>acknowledging heavy workload but minimizing by citing no all-nighters</t>
  </si>
  <si>
    <t>{"session_id": "fc0fc5f4-dd34-4d0c-91af-4f68e4ee06c7", "quotes": [{"quote_text": "working times got a little bit longer for part of the team, which was still fine because the other ones all did their work without having to get support from us", "topic": "overall_experience", "first_order_code": "longer hours softened as fine because others worked independently", "flagging_reason": "Participant minimizes increased working hours by justifying them with a comparison to others' autonomy.", "confidence": 0.85}, {"quote_text": "We're doing PMO, so it's very much given the tasks that we have to do and a lot of regular processes.", "topic": "client_value", "first_order_code": "work is mostly predetermined PMO tasks and routine processes", "flagging_reason": "Participant describes work as constrained to routine tasks, implying limited scope for strategic contribution.", "confidence": 0.75}, {"quote_text": "We are still trying to question the regular processes, though, and a bit of the client, so that it also brings value to him aside from only having meetings organized and so on.", "topic": "client_value", "first_order_code": "trying to add value beyond just organizing meetings", "flagging_reason": "Participant expresses effort to move beyond routine administrative work, suggesting concern that current tasks may not be sufficiently valuable.", "confidence": 0.8}, {"quote_text": "Mostly they were sitting with us, till late night, so to finish up the content", "topic": "leadership_engagement", "first_order_code": "working late into the night alongside leaders to finish content", "flagging_reason": "Participant mentions late-night work as a descriptor of leadership engagement, revealing extended hours as routine.", "confidence": 0.7}]}</t>
  </si>
  <si>
    <t>We are still trying to question the regular processes, though, and a bit of the client, so that it also brings value to him aside from only having meetings organized and so on.</t>
  </si>
  <si>
    <t>Participant expresses effort to move beyond routine administrative work, suggesting concern that current tasks may not be sufficiently valuable.</t>
  </si>
  <si>
    <t>trying to add value beyond just organizing meetings</t>
  </si>
  <si>
    <t>We're doing PMO, so it's very much given the tasks that we have to do and a lot of regular processes.</t>
  </si>
  <si>
    <t>Participant describes work as constrained to routine tasks, implying limited scope for strategic contribution.</t>
  </si>
  <si>
    <t>work is mostly predetermined PMO tasks and routine processes</t>
  </si>
  <si>
    <t>Mostly they were sitting with us, till late night, so to finish up the content</t>
  </si>
  <si>
    <t>Participant mentions late-night work as a descriptor of leadership engagement, revealing extended hours as routine.</t>
  </si>
  <si>
    <t>working late into the night alongside leaders to finish content</t>
  </si>
  <si>
    <t>working times got a little bit longer for part of the team, which was still fine because the other ones all did their work without having to get support from us</t>
  </si>
  <si>
    <t>Participant minimizes increased working hours by justifying them with a comparison to others' autonomy.</t>
  </si>
  <si>
    <t>longer hours softened as fine because others worked independently</t>
  </si>
  <si>
    <t>{"session_id": "ffd68103-fc77-4b96-8929-9c9c6bc896a6", "quotes": [{"quote_text": "our workload was not distributed equally per se, and I do not think we always put the people who were in the best position to help on the task to help.", "topic": "overall_experience", "first_order_code": "workload not distributed equally across the team", "flagging_reason": "Identifies a staffing and workload allocation problem on the team.", "confidence": 0.95}, {"quote_text": "I think we sometimes see it as, 'This is yours and this is mine, and once mine's done, I'm out,'", "topic": "overall_experience", "first_order_code": "teammates checking out once their own tasks are done", "flagging_reason": "Describes a team behavior pattern that creates friction around shared responsibility.", "confidence": 0.9}, {"quote_text": "then we get situations where people are done earlier than they expected, and do nothing while others need longer than expected. And then it feels as if you do someone a favor by helping out something that was initially assigned as their task.", "topic": "overall_experience", "first_order_code": "feeling like helping colleagues is doing them a favor", "flagging_reason": "Expresses a problematic team dynamic where mutual support feels transactional rather than shared.", "confidence": 0.95}, {"quote_text": "I think as a team, we can be better there and all feel responsible for all the work that needs to be done if that is how things go throughout the day.", "topic": "overall_experience", "first_order_code": "needing everyone to feel responsible for all the work", "flagging_reason": "Frames a current limitation in collective ownership as something the team should improve.", "confidence": 0.85}, {"quote_text": "I think it's fair that this was difficult, but I think we can be more adaptive given the nature of the tech council.", "topic": "overall_experience", "first_order_code": "excusing difficulty but saying we could be more adaptive", "flagging_reason": "Uses self-softening language to qualify a criticism of team adaptiveness.", "confidence": 0.8}, {"quote_text": "So I think that's what it is, but I don't know. I don't want to speak for other people, right?", "topic": "overall_experience", "first_order_code": "not wanting to speak for other people", "flagging_reason": "Shows reluctance to attribute team problems to specific colleagues, a form of hedging.", "confidence": 0.9}, {"quote_text": "then I was a little bit, well, disappointed is a big word, but then I was a bit surprised that those who at least it seemed like would have capacity also did not jump in.", "topic": "overall_experience", "first_order_code": "downgrading disappointment to surprise about teammates not helping", "flagging_reason": "Explicitly softens and minimizes an emotional reaction to colleague behavior.", "confidence": 0.95}, {"quote_text": "And it's not in my position to put someone at work for somebody else.", "topic": "overall_experience", "first_order_code": "not in my position to assign someone else's work", "flagging_reason": "Explains a structural constraint that prevents addressing the unequal workload problem.", "confidence": 0.85}, {"quote_text": "Predictable, not so much. I think it's a bit in peaks.", "topic": "workload_sustainability", "first_order_code": "workload coming in unpredictable peaks", "flagging_reason": "Identifies lack of predictability as a workload concern.", "confidence": 0.9}, {"quote_text": "I don't know how we would fix it per se, since it's a bit of the nature of our tech council work", "topic": "workload_sustainability", "first_order_code": "attributing unpredictability to the nature of the work", "flagging_reason": "Reattributes the problem away from team or management toward inherent work type.", "confidence": 0.9}, {"quote_text": "sometimes in the morning I did not know what I was gonna be working on, even though there was enough to be doing. Again, not a problem, but it was less predictable than in previous weeks.", "topic": "workload_sustainability", "first_order_code": "not knowing what I'd work on despite having tasks", "flagging_reason": "Describes a planning or prioritization issue, then immediately minimizes it with 'not a problem.'", "confidence": 0.9}, {"quote_text": "So maybe it was just a hectic week. I'm not sure.", "topic": "workload_sustainability", "first_order_code": "downplaying it as maybe just one hectic week", "flagging_reason": "Uses uncertainty and reframing to soften the concern just expressed.", "confidence": 0.85}, {"quote_text": "I think I had to work really hard during the day", "topic": "workload_sustainability", "first_order_code": "having to work really hard during the day", "flagging_reason": "Indicates intensity or strain in the workday, even if hours remained acceptable.", "confidence": 0.8}, {"quote_text": "there is a lot of demos and client requests going on, which makes it difficult to focus on some of our internal tasks.", "topic": "client_value", "first_order_code": "client work making it hard to focus on internal tasks", "flagging_reason": "Identifies a tension or tradeoff between client-facing and internal work.", "confidence": 0.9}, {"quote_text": "It would be nice to prioritize time for that, but I'm also seeing that that's simply just not possible.", "topic": "client_value", "first_order_code": "wishing for time on internal work but seeing it's not possible", "flagging_reason": "Expresses a constraint or limitation, then accepts it as inevitable.", "confidence": 0.85}]}</t>
  </si>
  <si>
    <t>It would be nice to prioritize time for that, but I'm also seeing that that's simply just not possible.</t>
  </si>
  <si>
    <t>Expresses a constraint or limitation, then accepts it as inevitable.</t>
  </si>
  <si>
    <t>wishing for time on internal work but seeing it's not possible</t>
  </si>
  <si>
    <t>there is a lot of demos and client requests going on, which makes it difficult to focus on some of our internal tasks.</t>
  </si>
  <si>
    <t>Identifies a tension or tradeoff between client-facing and internal work.</t>
  </si>
  <si>
    <t>client work making it hard to focus on internal tasks</t>
  </si>
  <si>
    <t>And it's not in my position to put someone at work for somebody else.</t>
  </si>
  <si>
    <t>Explains a structural constraint that prevents addressing the unequal workload problem.</t>
  </si>
  <si>
    <t>not in my position to assign someone else's work</t>
  </si>
  <si>
    <t>I think as a team, we can be better there and all feel responsible for all the work that needs to be done if that is how things go throughout the day.</t>
  </si>
  <si>
    <t>Frames a current limitation in collective ownership as something the team should improve.</t>
  </si>
  <si>
    <t>needing everyone to feel responsible for all the work</t>
  </si>
  <si>
    <t>I think it's fair that this was difficult, but I think we can be more adaptive given the nature of the tech council.</t>
  </si>
  <si>
    <t>Uses self-softening language to qualify a criticism of team adaptiveness.</t>
  </si>
  <si>
    <t>excusing difficulty but saying we could be more adaptive</t>
  </si>
  <si>
    <t>I think we sometimes see it as, 'This is yours and this is mine, and once mine's done, I'm out,'</t>
  </si>
  <si>
    <t>Describes a team behavior pattern that creates friction around shared responsibility.</t>
  </si>
  <si>
    <t>teammates checking out once their own tasks are done</t>
  </si>
  <si>
    <t>So I think that's what it is, but I don't know. I don't want to speak for other people, right?</t>
  </si>
  <si>
    <t>Shows reluctance to attribute team problems to specific colleagues, a form of hedging.</t>
  </si>
  <si>
    <t>not wanting to speak for other people</t>
  </si>
  <si>
    <t>Boundary-marking around disclosure scope</t>
  </si>
  <si>
    <t>our workload was not distributed equally per se, and I do not think we always put the people who were in the best position to help on the task to help.</t>
  </si>
  <si>
    <t>Identifies a staffing and workload allocation problem on the team.</t>
  </si>
  <si>
    <t>workload not distributed equally across the team</t>
  </si>
  <si>
    <t>then I was a little bit, well, disappointed is a big word, but then I was a bit surprised that those who at least it seemed like would have capacity also did not jump in.</t>
  </si>
  <si>
    <t>Explicitly softens and minimizes an emotional reaction to colleague behavior.</t>
  </si>
  <si>
    <t>downgrading disappointment to surprise about teammates not helping</t>
  </si>
  <si>
    <t>then we get situations where people are done earlier than they expected, and do nothing while others need longer than expected. And then it feels as if you do someone a favor by helping out something that was initially assigned as their task.</t>
  </si>
  <si>
    <t>Expresses a problematic team dynamic where mutual support feels transactional rather than shared.</t>
  </si>
  <si>
    <t>feeling like helping colleagues is doing them a favor</t>
  </si>
  <si>
    <t>I don't know how we would fix it per se, since it's a bit of the nature of our tech council work</t>
  </si>
  <si>
    <t>Reattributes the problem away from team or management toward inherent work type.</t>
  </si>
  <si>
    <t>attributing unpredictability to the nature of the work</t>
  </si>
  <si>
    <t>I think I had to work really hard during the day</t>
  </si>
  <si>
    <t>Indicates intensity or strain in the workday, even if hours remained acceptable.</t>
  </si>
  <si>
    <t>having to work really hard during the day</t>
  </si>
  <si>
    <t>Predictable, not so much. I think it's a bit in peaks.</t>
  </si>
  <si>
    <t>Identifies lack of predictability as a workload concern.</t>
  </si>
  <si>
    <t>workload coming in unpredictable peaks</t>
  </si>
  <si>
    <t>So maybe it was just a hectic week. I'm not sure.</t>
  </si>
  <si>
    <t>Uses uncertainty and reframing to soften the concern just expressed.</t>
  </si>
  <si>
    <t>downplaying it as maybe just one hectic week</t>
  </si>
  <si>
    <t>sometimes in the morning I did not know what I was gonna be working on, even though there was enough to be doing. Again, not a problem, but it was less predictable than in previous weeks.</t>
  </si>
  <si>
    <t>Describes a planning or prioritization issue, then immediately minimizes it with 'not a problem.'</t>
  </si>
  <si>
    <t>not knowing what I'd work on despite having tasks</t>
  </si>
  <si>
    <r>
      <rPr>
        <sz val="10"/>
        <color rgb="FFFF0000"/>
        <rFont val="Helvetica Neue"/>
        <family val="2"/>
      </rPr>
      <t>Disclaimer</t>
    </r>
    <r>
      <rPr>
        <sz val="10"/>
        <color indexed="8"/>
        <rFont val="Helvetica Neue"/>
        <family val="2"/>
      </rPr>
      <t>: All field in grey must be filled wth ElevenLabs-Data before running the scripts.</t>
    </r>
  </si>
  <si>
    <t xml:space="preserve">AI Disclosure gap </t>
  </si>
  <si>
    <t>Reviwerer 1 Disclosure Gap</t>
  </si>
  <si>
    <t>Extra</t>
  </si>
  <si>
    <t>Willingess-to-repeat</t>
  </si>
  <si>
    <t>Gap Manual</t>
  </si>
  <si>
    <t>Gap Prevalence by Threshold
workload sustainability</t>
  </si>
  <si>
    <t>Gap Prevalence by Threshold
client value</t>
  </si>
  <si>
    <t>Gap Prevalence by Threshold
leadership engagement</t>
  </si>
  <si>
    <t>Top Box - Gap Prevalence by Threshold
workload sustainability</t>
  </si>
  <si>
    <t>Top Box - Gap Prevalence by Threshold
client value</t>
  </si>
  <si>
    <t>Top Box - Gap Prevalence by Threshold
leadership engagement</t>
  </si>
  <si>
    <t>Top Box -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</si>
</sst>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indexed="8"/>
      <name val="Helvetica Neue"/>
    </font>
    <font>
      <sz val="12"/>
      <color indexed="8"/>
      <name val="Helvetica Neue"/>
      <family val="2"/>
    </font>
    <font>
      <b/>
      <sz val="10"/>
      <color indexed="8"/>
      <name val="Helvetica Neue"/>
      <family val="2"/>
    </font>
    <font>
      <sz val="10"/>
      <color indexed="8"/>
      <name val="Helvetica Neue"/>
      <family val="2"/>
    </font>
    <font>
      <sz val="9"/>
      <color indexed="8"/>
      <name val="Menlo"/>
      <family val="2"/>
    </font>
    <font>
      <b/>
      <sz val="9"/>
      <color indexed="8"/>
      <name val="Menlo"/>
      <family val="2"/>
    </font>
    <font>
      <sz val="10"/>
      <color theme="0"/>
      <name val="Helvetica Neue"/>
      <family val="2"/>
    </font>
    <font>
      <sz val="9"/>
      <color theme="0"/>
      <name val="Menlo"/>
      <family val="2"/>
    </font>
    <font>
      <sz val="10"/>
      <color indexed="8"/>
      <name val="Menlo Regular"/>
    </font>
    <font>
      <b/>
      <sz val="10"/>
      <color indexed="8"/>
      <name val="Menlo Regular"/>
    </font>
    <font>
      <sz val="10"/>
      <color rgb="FF000000"/>
      <name val="Menlo Regular"/>
    </font>
    <font>
      <sz val="10"/>
      <color indexed="8"/>
      <name val="Helvetica Neue"/>
      <family val="2"/>
    </font>
    <font>
      <sz val="10"/>
      <color rgb="FF000000"/>
      <name val="Helvetica Neue"/>
      <family val="2"/>
    </font>
    <font>
      <sz val="10"/>
      <color rgb="FF000000"/>
      <name val="Helvetica Neue"/>
      <family val="2"/>
    </font>
    <font>
      <sz val="10"/>
      <color rgb="FFFF0000"/>
      <name val="Helvetica Neue"/>
      <family val="2"/>
    </font>
  </fonts>
  <fills count="16">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DFF8D6"/>
        <bgColor rgb="FF000000"/>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s>
  <borders count="6">
    <border>
      <left/>
      <right/>
      <top/>
      <bottom/>
      <diagonal/>
    </border>
    <border>
      <left style="thin">
        <color indexed="10"/>
      </left>
      <right style="thin">
        <color indexed="10"/>
      </right>
      <top style="thin">
        <color indexed="10"/>
      </top>
      <bottom style="thin">
        <color indexed="10"/>
      </bottom>
      <diagonal/>
    </border>
    <border>
      <left style="thin">
        <color indexed="64"/>
      </left>
      <right style="thin">
        <color indexed="64"/>
      </right>
      <top style="thin">
        <color indexed="64"/>
      </top>
      <bottom style="thin">
        <color indexed="64"/>
      </bottom>
      <diagonal/>
    </border>
    <border>
      <left style="thin">
        <color indexed="10"/>
      </left>
      <right style="thin">
        <color indexed="11"/>
      </right>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bottom style="thin">
        <color indexed="10"/>
      </bottom>
      <diagonal/>
    </border>
  </borders>
  <cellStyleXfs count="2">
    <xf numFmtId="0" fontId="0" fillId="0" borderId="0">
      <alignment vertical="top" wrapText="1"/>
    </xf>
    <xf numFmtId="9" fontId="11" fillId="0" borderId="0"/>
  </cellStyleXfs>
  <cellXfs count="60">
    <xf numFmtId="0" fontId="0" fillId="0" borderId="0" xfId="0">
      <alignment vertical="top" wrapText="1"/>
    </xf>
    <xf numFmtId="0" fontId="0" fillId="0" borderId="0" xfId="0" applyAlignment="1">
      <alignment vertical="top"/>
    </xf>
    <xf numFmtId="0" fontId="5" fillId="3" borderId="2" xfId="0" applyFont="1" applyFill="1" applyBorder="1">
      <alignment vertical="top" wrapText="1"/>
    </xf>
    <xf numFmtId="0" fontId="5" fillId="2" borderId="2" xfId="0" applyFont="1" applyFill="1" applyBorder="1">
      <alignment vertical="top" wrapText="1"/>
    </xf>
    <xf numFmtId="0" fontId="7" fillId="8" borderId="2" xfId="0" applyFont="1" applyFill="1" applyBorder="1">
      <alignment vertical="top" wrapText="1"/>
    </xf>
    <xf numFmtId="0" fontId="4" fillId="7" borderId="2" xfId="0" applyFont="1" applyFill="1" applyBorder="1">
      <alignment vertical="top" wrapText="1"/>
    </xf>
    <xf numFmtId="0" fontId="5" fillId="7" borderId="2" xfId="0" applyFont="1" applyFill="1" applyBorder="1">
      <alignment vertical="top" wrapText="1"/>
    </xf>
    <xf numFmtId="0" fontId="4" fillId="5" borderId="2" xfId="0" applyFont="1" applyFill="1" applyBorder="1">
      <alignment vertical="top" wrapText="1"/>
    </xf>
    <xf numFmtId="0" fontId="5" fillId="6" borderId="2" xfId="0" applyFont="1" applyFill="1" applyBorder="1">
      <alignment vertical="top" wrapText="1"/>
    </xf>
    <xf numFmtId="0" fontId="4" fillId="10" borderId="2" xfId="0" applyFont="1" applyFill="1" applyBorder="1">
      <alignment vertical="top" wrapText="1"/>
    </xf>
    <xf numFmtId="0" fontId="5" fillId="10" borderId="2" xfId="0" applyFont="1" applyFill="1" applyBorder="1">
      <alignment vertical="top" wrapText="1"/>
    </xf>
    <xf numFmtId="0" fontId="4" fillId="11" borderId="2" xfId="0" applyFont="1" applyFill="1" applyBorder="1">
      <alignment vertical="top" wrapText="1"/>
    </xf>
    <xf numFmtId="0" fontId="5" fillId="11" borderId="2" xfId="0" applyFont="1" applyFill="1" applyBorder="1">
      <alignment vertical="top" wrapText="1"/>
    </xf>
    <xf numFmtId="0" fontId="5" fillId="9" borderId="2" xfId="0" applyFont="1" applyFill="1" applyBorder="1">
      <alignment vertical="top" wrapText="1"/>
    </xf>
    <xf numFmtId="0" fontId="4" fillId="9" borderId="2" xfId="0" applyFont="1" applyFill="1" applyBorder="1">
      <alignment vertical="top" wrapText="1"/>
    </xf>
    <xf numFmtId="0" fontId="4" fillId="6" borderId="2" xfId="0" applyFont="1" applyFill="1" applyBorder="1">
      <alignment vertical="top" wrapText="1"/>
    </xf>
    <xf numFmtId="0" fontId="3" fillId="0" borderId="0" xfId="0" applyFont="1">
      <alignment vertical="top" wrapText="1"/>
    </xf>
    <xf numFmtId="0" fontId="3" fillId="13" borderId="0" xfId="0" applyFont="1" applyFill="1">
      <alignment vertical="top" wrapText="1"/>
    </xf>
    <xf numFmtId="0" fontId="0" fillId="0" borderId="0" xfId="0" applyAlignment="1"/>
    <xf numFmtId="0" fontId="12" fillId="0" borderId="0" xfId="0" applyFont="1">
      <alignment vertical="top" wrapText="1"/>
    </xf>
    <xf numFmtId="0" fontId="13" fillId="0" borderId="0" xfId="0" applyFont="1">
      <alignment vertical="top" wrapText="1"/>
    </xf>
    <xf numFmtId="0" fontId="0" fillId="14" borderId="0" xfId="0" applyFill="1">
      <alignment vertical="top" wrapText="1"/>
    </xf>
    <xf numFmtId="0" fontId="3" fillId="0" borderId="0" xfId="0" applyFont="1" applyAlignment="1">
      <alignment vertical="top"/>
    </xf>
    <xf numFmtId="0" fontId="2" fillId="7" borderId="2" xfId="0" applyFont="1" applyFill="1" applyBorder="1" applyAlignment="1">
      <alignment horizontal="center" vertical="top"/>
    </xf>
    <xf numFmtId="0" fontId="2" fillId="3" borderId="2" xfId="0" applyFont="1" applyFill="1" applyBorder="1" applyAlignment="1">
      <alignment horizontal="center" vertical="top"/>
    </xf>
    <xf numFmtId="0" fontId="3" fillId="10" borderId="2" xfId="0" applyFont="1" applyFill="1" applyBorder="1" applyAlignment="1">
      <alignment horizontal="center" vertical="top"/>
    </xf>
    <xf numFmtId="0" fontId="3" fillId="9" borderId="2" xfId="0" applyFont="1" applyFill="1" applyBorder="1" applyAlignment="1">
      <alignment horizontal="center" vertical="top"/>
    </xf>
    <xf numFmtId="0" fontId="2" fillId="2" borderId="2" xfId="0" applyFont="1" applyFill="1" applyBorder="1" applyAlignment="1">
      <alignment horizontal="center" vertical="top"/>
    </xf>
    <xf numFmtId="0" fontId="3" fillId="11" borderId="2" xfId="0" applyFont="1" applyFill="1" applyBorder="1" applyAlignment="1">
      <alignment horizontal="center" vertical="top"/>
    </xf>
    <xf numFmtId="0" fontId="6" fillId="8" borderId="2" xfId="0" applyFont="1" applyFill="1" applyBorder="1" applyAlignment="1">
      <alignment horizontal="center" vertical="top"/>
    </xf>
    <xf numFmtId="0" fontId="3" fillId="5" borderId="2" xfId="0" applyFont="1" applyFill="1" applyBorder="1" applyAlignment="1">
      <alignment horizontal="center" vertical="top"/>
    </xf>
    <xf numFmtId="0" fontId="3" fillId="6" borderId="2" xfId="0" applyFont="1" applyFill="1" applyBorder="1" applyAlignment="1">
      <alignment horizontal="center" vertical="top"/>
    </xf>
    <xf numFmtId="49" fontId="0" fillId="15" borderId="1" xfId="0" applyNumberFormat="1" applyFill="1" applyBorder="1" applyAlignment="1">
      <alignment vertical="top"/>
    </xf>
    <xf numFmtId="0" fontId="0" fillId="0" borderId="0" xfId="0" applyFill="1">
      <alignment vertical="top" wrapText="1"/>
    </xf>
    <xf numFmtId="0" fontId="0" fillId="0" borderId="0" xfId="0" applyFill="1" applyAlignment="1">
      <alignment vertical="top"/>
    </xf>
    <xf numFmtId="0" fontId="3" fillId="0" borderId="0" xfId="0" applyFont="1" applyFill="1" applyAlignment="1">
      <alignment vertical="top"/>
    </xf>
    <xf numFmtId="9" fontId="0" fillId="0" borderId="0" xfId="1" applyFont="1" applyFill="1" applyAlignment="1">
      <alignment vertical="top"/>
    </xf>
    <xf numFmtId="0" fontId="3" fillId="0" borderId="0" xfId="0" applyFont="1" applyFill="1">
      <alignment vertical="top" wrapText="1"/>
    </xf>
    <xf numFmtId="0" fontId="3" fillId="0" borderId="0" xfId="0" quotePrefix="1" applyFont="1" applyFill="1" applyAlignment="1">
      <alignment vertical="top"/>
    </xf>
    <xf numFmtId="0" fontId="3" fillId="3" borderId="2" xfId="0" applyFont="1" applyFill="1" applyBorder="1" applyAlignment="1">
      <alignment vertical="top"/>
    </xf>
    <xf numFmtId="0" fontId="3" fillId="3" borderId="2" xfId="0" applyFont="1" applyFill="1" applyBorder="1">
      <alignment vertical="top" wrapText="1"/>
    </xf>
    <xf numFmtId="49" fontId="2" fillId="15" borderId="3" xfId="0" applyNumberFormat="1" applyFont="1" applyFill="1" applyBorder="1" applyAlignment="1">
      <alignment vertical="top"/>
    </xf>
    <xf numFmtId="49" fontId="0" fillId="15" borderId="4" xfId="0" applyNumberFormat="1" applyFill="1" applyBorder="1" applyAlignment="1">
      <alignment vertical="top"/>
    </xf>
    <xf numFmtId="49" fontId="0" fillId="15" borderId="5" xfId="0" applyNumberFormat="1" applyFill="1" applyBorder="1" applyAlignment="1">
      <alignment vertical="top"/>
    </xf>
    <xf numFmtId="49" fontId="3" fillId="15" borderId="5" xfId="0" applyNumberFormat="1" applyFont="1" applyFill="1" applyBorder="1" applyAlignment="1">
      <alignment vertical="top"/>
    </xf>
    <xf numFmtId="0" fontId="1" fillId="4" borderId="2" xfId="0" applyFont="1" applyFill="1" applyBorder="1" applyAlignment="1">
      <alignment horizontal="center" vertical="center"/>
    </xf>
    <xf numFmtId="0" fontId="0" fillId="0" borderId="2" xfId="0" applyBorder="1" applyAlignment="1"/>
    <xf numFmtId="0" fontId="8" fillId="10" borderId="2" xfId="0" applyFont="1" applyFill="1" applyBorder="1" applyAlignment="1">
      <alignment horizontal="center" vertical="top"/>
    </xf>
    <xf numFmtId="0" fontId="0" fillId="10" borderId="2" xfId="0" applyFill="1" applyBorder="1" applyAlignment="1">
      <alignment horizontal="center" vertical="top"/>
    </xf>
    <xf numFmtId="0" fontId="8" fillId="3" borderId="2" xfId="0" applyFont="1" applyFill="1" applyBorder="1" applyAlignment="1">
      <alignment vertical="top"/>
    </xf>
    <xf numFmtId="0" fontId="0" fillId="0" borderId="2" xfId="0" applyBorder="1" applyAlignment="1">
      <alignment vertical="top"/>
    </xf>
    <xf numFmtId="0" fontId="0" fillId="10" borderId="2" xfId="0" applyFill="1" applyBorder="1" applyAlignment="1">
      <alignment vertical="top"/>
    </xf>
    <xf numFmtId="49" fontId="2" fillId="4" borderId="2" xfId="0" applyNumberFormat="1" applyFont="1" applyFill="1" applyBorder="1" applyAlignment="1">
      <alignment vertical="top"/>
    </xf>
    <xf numFmtId="0" fontId="8" fillId="10" borderId="2" xfId="0" applyFont="1" applyFill="1" applyBorder="1" applyAlignment="1">
      <alignment vertical="top"/>
    </xf>
    <xf numFmtId="0" fontId="9" fillId="10" borderId="2" xfId="0" applyFont="1" applyFill="1" applyBorder="1" applyAlignment="1">
      <alignment vertical="top"/>
    </xf>
    <xf numFmtId="0" fontId="10" fillId="12" borderId="2" xfId="0" applyFont="1" applyFill="1" applyBorder="1" applyAlignment="1">
      <alignment vertical="top"/>
    </xf>
    <xf numFmtId="0" fontId="3" fillId="11" borderId="2" xfId="0" applyFont="1" applyFill="1" applyBorder="1" applyAlignment="1">
      <alignment vertical="top"/>
    </xf>
    <xf numFmtId="0" fontId="3" fillId="3" borderId="2" xfId="0" applyFont="1" applyFill="1" applyBorder="1" applyAlignment="1">
      <alignment horizontal="center" vertical="top"/>
    </xf>
    <xf numFmtId="0" fontId="0" fillId="0" borderId="0" xfId="0" applyBorder="1" applyAlignment="1">
      <alignment vertical="top"/>
    </xf>
    <xf numFmtId="0" fontId="3" fillId="0" borderId="0" xfId="0" applyFont="1" applyBorder="1">
      <alignment vertical="top" wrapText="1"/>
    </xf>
  </cellXfs>
  <cellStyles count="2">
    <cellStyle name="Prozent" xfId="1" builtinId="5"/>
    <cellStyle name="Standard" xfId="0" builtinId="0"/>
  </cellStyles>
  <dxfs count="3">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P105"/>
  <sheetViews>
    <sheetView showGridLines="0" tabSelected="1" zoomScale="60" workbookViewId="0">
      <selection activeCell="EV19" sqref="EV19"/>
    </sheetView>
  </sheetViews>
  <sheetFormatPr baseColWidth="10" defaultColWidth="8.33203125" defaultRowHeight="20" customHeight="1" outlineLevelCol="2"/>
  <cols>
    <col min="1" max="1" width="34.6640625" style="1" customWidth="1"/>
    <col min="2" max="2" width="33.5" style="1" customWidth="1"/>
    <col min="3" max="3" width="33.6640625" style="1" customWidth="1"/>
    <col min="4" max="4" width="7.6640625" style="1" customWidth="1"/>
    <col min="5" max="6" width="23.1640625" style="1" customWidth="1"/>
    <col min="7" max="7" width="10" style="1" customWidth="1"/>
    <col min="8" max="8" width="11.83203125" style="1" customWidth="1"/>
    <col min="9" max="9" width="9.1640625" style="1" customWidth="1"/>
    <col min="10" max="10" width="32.33203125" style="1" customWidth="1"/>
    <col min="11" max="11" width="31.1640625" style="1" customWidth="1"/>
    <col min="12" max="12" width="25.5" style="1" customWidth="1"/>
    <col min="13" max="13" width="34.1640625" style="1" customWidth="1"/>
    <col min="14" max="14" width="59.5" style="1" customWidth="1"/>
    <col min="15" max="15" width="11.6640625" style="1" customWidth="1"/>
    <col min="16" max="16" width="12" style="1" customWidth="1"/>
    <col min="17" max="17" width="11.1640625" style="1" customWidth="1"/>
    <col min="18" max="18" width="102" style="1" customWidth="1"/>
    <col min="19" max="19" width="12.1640625" style="1" customWidth="1"/>
    <col min="20" max="20" width="18.33203125" style="1" customWidth="1"/>
    <col min="21" max="21" width="23.1640625" style="1" customWidth="1"/>
    <col min="22" max="22" width="9" style="1" customWidth="1"/>
    <col min="23" max="23" width="11" style="1" customWidth="1"/>
    <col min="24" max="24" width="17.5" style="1" customWidth="1"/>
    <col min="25" max="25" width="11.5" style="1" customWidth="1"/>
    <col min="26" max="26" width="17.1640625" style="1" customWidth="1"/>
    <col min="27" max="27" width="22.33203125" style="1" customWidth="1"/>
    <col min="28" max="28" width="25.33203125" style="1" customWidth="1"/>
    <col min="29" max="30" width="22.5" style="1" customWidth="1"/>
    <col min="31" max="31" width="23.83203125" style="1" customWidth="1"/>
    <col min="32" max="32" width="21" style="1" customWidth="1"/>
    <col min="33" max="33" width="35.6640625" style="1" customWidth="1"/>
    <col min="34" max="34" width="72.33203125" style="1" customWidth="1"/>
    <col min="35" max="35" width="20.33203125" style="1" customWidth="1"/>
    <col min="36" max="37" width="25.1640625" style="1" customWidth="1"/>
    <col min="38" max="39" width="19.33203125" style="1" customWidth="1"/>
    <col min="40" max="40" width="18.5" style="1" customWidth="1"/>
    <col min="41" max="41" width="29.5" style="1" customWidth="1"/>
    <col min="42" max="42" width="21.6640625" style="1" customWidth="1"/>
    <col min="43" max="44" width="28.6640625" style="1" customWidth="1"/>
    <col min="45" max="45" width="18.83203125" style="1" customWidth="1"/>
    <col min="46" max="46" width="22.83203125" style="1" customWidth="1"/>
    <col min="47" max="47" width="18.5" style="1" customWidth="1"/>
    <col min="48" max="48" width="22.1640625" style="1" customWidth="1"/>
    <col min="49" max="49" width="27.33203125" style="1" hidden="1" customWidth="1" outlineLevel="1"/>
    <col min="50" max="52" width="27.33203125" style="1" hidden="1" customWidth="1" outlineLevel="2"/>
    <col min="53" max="53" width="17.5" style="1" hidden="1" customWidth="1" outlineLevel="1" collapsed="1"/>
    <col min="54" max="56" width="17.5" style="1" hidden="1" customWidth="1" outlineLevel="2"/>
    <col min="57" max="57" width="19.33203125" style="1" hidden="1" customWidth="1" outlineLevel="1" collapsed="1"/>
    <col min="58" max="60" width="19.33203125" style="1" hidden="1" customWidth="1" outlineLevel="2"/>
    <col min="61" max="61" width="21" style="1" hidden="1" customWidth="1" outlineLevel="1" collapsed="1"/>
    <col min="62" max="64" width="21" style="1" hidden="1" customWidth="1" outlineLevel="2"/>
    <col min="65" max="65" width="21" style="1" hidden="1" customWidth="1" outlineLevel="1" collapsed="1"/>
    <col min="66" max="68" width="21" style="1" hidden="1" customWidth="1" outlineLevel="2"/>
    <col min="69" max="69" width="17" style="1" hidden="1" customWidth="1" outlineLevel="1" collapsed="1"/>
    <col min="70" max="72" width="17" style="1" hidden="1" customWidth="1" outlineLevel="2"/>
    <col min="73" max="73" width="19.1640625" style="1" hidden="1" customWidth="1" outlineLevel="1" collapsed="1"/>
    <col min="74" max="74" width="21" style="1" hidden="1" customWidth="1" outlineLevel="1"/>
    <col min="75" max="75" width="22.1640625" style="1" hidden="1" customWidth="1" outlineLevel="1"/>
    <col min="76" max="76" width="19.83203125" style="1" hidden="1" customWidth="1" outlineLevel="1"/>
    <col min="77" max="77" width="20.83203125" style="1" hidden="1" customWidth="1" outlineLevel="1"/>
    <col min="78" max="78" width="19" style="1" hidden="1" customWidth="1" outlineLevel="1"/>
    <col min="79" max="79" width="24.33203125" style="1" hidden="1" customWidth="1" outlineLevel="1"/>
    <col min="80" max="80" width="21.6640625" style="1" customWidth="1" collapsed="1"/>
    <col min="81" max="82" width="27.33203125" style="1" customWidth="1"/>
    <col min="83" max="83" width="25.83203125" style="1" customWidth="1"/>
    <col min="84" max="84" width="24.6640625" style="1" hidden="1" customWidth="1" outlineLevel="1"/>
    <col min="85" max="85" width="35.1640625" style="1" hidden="1" customWidth="1" outlineLevel="1"/>
    <col min="86" max="86" width="31" style="1" hidden="1" customWidth="1" outlineLevel="1"/>
    <col min="87" max="87" width="22.6640625" style="1" hidden="1" customWidth="1" outlineLevel="1"/>
    <col min="88" max="88" width="17.5" style="1" hidden="1" customWidth="1" outlineLevel="1" collapsed="1"/>
    <col min="89" max="89" width="42.33203125" style="1" hidden="1" customWidth="1" outlineLevel="1"/>
    <col min="90" max="90" width="29.83203125" style="1" hidden="1" customWidth="1" outlineLevel="1"/>
    <col min="91" max="91" width="19.6640625" style="1" hidden="1" customWidth="1" outlineLevel="1"/>
    <col min="92" max="93" width="27" style="1" hidden="1" customWidth="1" outlineLevel="1"/>
    <col min="94" max="94" width="17.83203125" style="1" hidden="1" customWidth="1" outlineLevel="1"/>
    <col min="95" max="95" width="26.6640625" style="1" customWidth="1" collapsed="1"/>
    <col min="96" max="96" width="26.33203125" style="1" customWidth="1"/>
    <col min="97" max="97" width="36" style="1" customWidth="1"/>
    <col min="98" max="98" width="23.1640625" style="1" customWidth="1"/>
    <col min="99" max="99" width="17" style="1" customWidth="1"/>
    <col min="100" max="100" width="12.6640625" style="1" customWidth="1"/>
    <col min="101" max="101" width="43" style="1" customWidth="1"/>
    <col min="102" max="102" width="13.5" style="1" customWidth="1"/>
    <col min="103" max="103" width="50.1640625" style="1" customWidth="1"/>
    <col min="104" max="104" width="15.33203125" style="1" customWidth="1"/>
    <col min="105" max="105" width="13.33203125" style="1" customWidth="1"/>
    <col min="106" max="106" width="40.6640625" style="1" customWidth="1"/>
    <col min="107" max="107" width="9.5" style="1" customWidth="1"/>
    <col min="108" max="108" width="11.1640625" style="1" customWidth="1"/>
    <col min="109" max="109" width="14.33203125" style="1" customWidth="1"/>
    <col min="110" max="110" width="37.33203125" style="1" customWidth="1"/>
    <col min="111" max="111" width="11.83203125" style="1" customWidth="1"/>
    <col min="112" max="112" width="9.1640625" style="1" customWidth="1"/>
    <col min="113" max="113" width="10.33203125" style="1" customWidth="1"/>
    <col min="114" max="114" width="38.33203125" style="1" customWidth="1"/>
    <col min="115" max="115" width="10.1640625" style="1" customWidth="1"/>
    <col min="116" max="116" width="12" style="1" customWidth="1"/>
    <col min="117" max="117" width="8.1640625" style="1" customWidth="1"/>
    <col min="118" max="118" width="31.83203125" style="1" customWidth="1"/>
    <col min="119" max="119" width="10.33203125" style="1" customWidth="1"/>
    <col min="120" max="120" width="14.6640625" style="1" customWidth="1"/>
    <col min="121" max="121" width="11.33203125" style="1" customWidth="1"/>
    <col min="122" max="122" width="12.1640625" style="1" customWidth="1"/>
    <col min="123" max="123" width="11" style="1" customWidth="1"/>
    <col min="124" max="124" width="10.83203125" style="1" customWidth="1"/>
    <col min="125" max="125" width="11.6640625" style="1" customWidth="1"/>
    <col min="126" max="126" width="12" style="1" customWidth="1"/>
    <col min="127" max="127" width="9.1640625" style="1" customWidth="1"/>
    <col min="128" max="128" width="11" style="1" customWidth="1"/>
    <col min="129" max="132" width="8.33203125" style="1" customWidth="1"/>
    <col min="133" max="133" width="17.1640625" style="1" customWidth="1"/>
    <col min="134" max="134" width="12.5" style="1" customWidth="1"/>
    <col min="135" max="135" width="17.6640625" style="1" customWidth="1"/>
    <col min="136" max="136" width="16.6640625" style="1" customWidth="1"/>
    <col min="137" max="137" width="14.6640625" style="1" customWidth="1"/>
    <col min="138" max="138" width="16.83203125" style="1" customWidth="1"/>
    <col min="139" max="139" width="16.6640625" style="1" customWidth="1"/>
    <col min="140" max="140" width="18.33203125" style="1" customWidth="1"/>
    <col min="141" max="141" width="16" style="1" customWidth="1"/>
    <col min="142" max="142" width="15.6640625" style="1" customWidth="1"/>
    <col min="143" max="143" width="14.83203125" style="1" customWidth="1"/>
    <col min="144" max="144" width="12.6640625" style="1" customWidth="1"/>
    <col min="145" max="145" width="14.33203125" style="1" customWidth="1"/>
    <col min="146" max="146" width="13.83203125" style="1" customWidth="1"/>
    <col min="147" max="147" width="15" style="1" customWidth="1"/>
    <col min="148" max="148" width="13.5" style="1" customWidth="1"/>
    <col min="149" max="149" width="16.33203125" style="1" customWidth="1"/>
    <col min="150" max="150" width="11.33203125" style="1" customWidth="1"/>
    <col min="151" max="151" width="32.1640625" style="1" customWidth="1"/>
    <col min="152" max="152" width="27" style="1" customWidth="1"/>
    <col min="153" max="153" width="27.5" style="1" customWidth="1"/>
    <col min="154" max="154" width="28.33203125" style="1" customWidth="1"/>
    <col min="155" max="155" width="28.6640625" style="1" customWidth="1"/>
    <col min="156" max="156" width="26.1640625" style="1" customWidth="1"/>
    <col min="157" max="157" width="8.6640625" style="1" customWidth="1"/>
    <col min="158" max="162" width="8.33203125" style="1"/>
    <col min="163" max="163" width="32.83203125" style="1" customWidth="1"/>
    <col min="164" max="16384" width="8.33203125" style="1"/>
  </cols>
  <sheetData>
    <row r="1" spans="1:198" ht="27.75" customHeight="1">
      <c r="A1" s="45" t="s">
        <v>0</v>
      </c>
      <c r="B1" s="46"/>
      <c r="C1" s="46"/>
      <c r="D1" s="46"/>
      <c r="E1" s="46"/>
      <c r="F1" s="46"/>
      <c r="G1" s="46"/>
      <c r="H1" s="46"/>
      <c r="I1" s="46"/>
      <c r="J1" s="46"/>
      <c r="K1" s="46"/>
      <c r="L1" s="46"/>
      <c r="M1" s="46"/>
      <c r="N1" s="46"/>
      <c r="O1" s="46"/>
      <c r="P1" s="46"/>
      <c r="Q1" s="46"/>
      <c r="R1" s="46"/>
      <c r="S1" s="46"/>
      <c r="T1" s="46"/>
      <c r="U1" s="46"/>
      <c r="V1" s="46"/>
      <c r="W1" s="46"/>
      <c r="X1" s="24" t="s">
        <v>1</v>
      </c>
      <c r="Y1" s="46"/>
      <c r="Z1" s="46"/>
      <c r="AA1" s="27" t="s">
        <v>2</v>
      </c>
      <c r="AB1" s="46"/>
      <c r="AC1" s="46"/>
      <c r="AD1" s="46"/>
      <c r="AE1" s="46"/>
      <c r="AF1" s="46"/>
      <c r="AG1" s="29" t="s">
        <v>3</v>
      </c>
      <c r="AH1" s="46"/>
      <c r="AI1" s="46"/>
      <c r="AJ1" s="46"/>
      <c r="AK1" s="46"/>
      <c r="AL1" s="46"/>
      <c r="AM1" s="23" t="s">
        <v>4</v>
      </c>
      <c r="AN1" s="46"/>
      <c r="AO1" s="46"/>
      <c r="AP1" s="46"/>
      <c r="AQ1" s="46"/>
      <c r="AR1" s="46"/>
      <c r="AS1" s="46"/>
      <c r="AT1" s="46"/>
      <c r="AU1" s="46"/>
      <c r="AV1" s="46"/>
      <c r="AW1" s="30" t="s">
        <v>5</v>
      </c>
      <c r="AX1" s="46"/>
      <c r="AY1" s="46"/>
      <c r="AZ1" s="46"/>
      <c r="BA1" s="46"/>
      <c r="BB1" s="46"/>
      <c r="BC1" s="46"/>
      <c r="BD1" s="46"/>
      <c r="BE1" s="46"/>
      <c r="BF1" s="46"/>
      <c r="BG1" s="46"/>
      <c r="BH1" s="46"/>
      <c r="BI1" s="46"/>
      <c r="BJ1" s="46"/>
      <c r="BK1" s="46"/>
      <c r="BL1" s="46"/>
      <c r="BM1" s="46"/>
      <c r="BN1" s="46"/>
      <c r="BO1" s="46"/>
      <c r="BP1" s="46"/>
      <c r="BQ1" s="46"/>
      <c r="BR1" s="46"/>
      <c r="BS1" s="46"/>
      <c r="BT1" s="46"/>
      <c r="BU1" s="31" t="s">
        <v>6</v>
      </c>
      <c r="BV1" s="46"/>
      <c r="BW1" s="46"/>
      <c r="BX1" s="46"/>
      <c r="BY1" s="46"/>
      <c r="BZ1" s="46"/>
      <c r="CA1" s="46"/>
      <c r="CB1" s="25" t="s">
        <v>7</v>
      </c>
      <c r="CC1" s="46"/>
      <c r="CD1" s="46"/>
      <c r="CE1" s="46"/>
      <c r="CF1" s="28" t="s">
        <v>8</v>
      </c>
      <c r="CG1" s="46"/>
      <c r="CH1" s="46"/>
      <c r="CI1" s="46"/>
      <c r="CJ1" s="26" t="s">
        <v>9</v>
      </c>
      <c r="CK1" s="46"/>
      <c r="CL1" s="46"/>
      <c r="CM1" s="46"/>
      <c r="CN1" s="46"/>
      <c r="CO1" s="46"/>
      <c r="CP1" s="46"/>
      <c r="CQ1" s="47" t="s">
        <v>1641</v>
      </c>
      <c r="CR1" s="47"/>
      <c r="CS1" s="47"/>
      <c r="CT1" s="47"/>
      <c r="CU1" s="47"/>
      <c r="CV1" s="47"/>
      <c r="CW1" s="47"/>
      <c r="CX1" s="47"/>
      <c r="CY1" s="47"/>
      <c r="CZ1" s="25" t="s">
        <v>1642</v>
      </c>
      <c r="DA1" s="48"/>
      <c r="DB1" s="48"/>
      <c r="DC1" s="48"/>
      <c r="DD1" s="48"/>
      <c r="DE1" s="48"/>
      <c r="DF1" s="48"/>
      <c r="DG1" s="48"/>
      <c r="DH1" s="48"/>
      <c r="DI1" s="48"/>
      <c r="DJ1" s="48"/>
      <c r="DK1" s="48"/>
      <c r="DL1" s="48"/>
      <c r="DM1" s="48"/>
      <c r="DN1" s="48"/>
      <c r="DO1" s="48"/>
      <c r="DP1" s="49" t="s">
        <v>11</v>
      </c>
      <c r="DQ1" s="28" t="s">
        <v>12</v>
      </c>
      <c r="DR1" s="50"/>
      <c r="DS1" s="50"/>
      <c r="DT1" s="50"/>
      <c r="DU1" s="50"/>
      <c r="DV1" s="50"/>
      <c r="DW1" s="50"/>
      <c r="DX1" s="50"/>
      <c r="DY1" s="50"/>
      <c r="DZ1" s="50"/>
      <c r="EA1" s="50"/>
      <c r="EB1" s="50"/>
      <c r="EC1" s="25" t="s">
        <v>13</v>
      </c>
      <c r="ED1" s="51"/>
      <c r="EE1" s="51"/>
      <c r="EF1" s="51"/>
      <c r="EG1" s="51"/>
      <c r="EH1" s="51"/>
      <c r="EI1" s="51"/>
      <c r="EJ1" s="51"/>
      <c r="EK1" s="51"/>
      <c r="EL1" s="51"/>
      <c r="EM1" s="51"/>
      <c r="EN1" s="51"/>
      <c r="EO1" s="51"/>
      <c r="EP1" s="51"/>
      <c r="EQ1" s="51"/>
      <c r="ER1" s="51"/>
      <c r="ES1" s="57" t="s">
        <v>1643</v>
      </c>
      <c r="ET1" s="57"/>
      <c r="EU1" s="57"/>
      <c r="EV1" s="57"/>
      <c r="EW1" s="57"/>
      <c r="EX1" s="57"/>
      <c r="EY1" s="57"/>
      <c r="EZ1" s="57"/>
      <c r="FA1" s="57"/>
    </row>
    <row r="2" spans="1:198" ht="29" customHeight="1">
      <c r="A2" s="52" t="s">
        <v>14</v>
      </c>
      <c r="B2" s="52" t="s">
        <v>15</v>
      </c>
      <c r="C2" s="52" t="s">
        <v>16</v>
      </c>
      <c r="D2" s="52" t="s">
        <v>17</v>
      </c>
      <c r="E2" s="52" t="s">
        <v>18</v>
      </c>
      <c r="F2" s="52" t="s">
        <v>19</v>
      </c>
      <c r="G2" s="52" t="s">
        <v>20</v>
      </c>
      <c r="H2" s="52" t="s">
        <v>21</v>
      </c>
      <c r="I2" s="52" t="s">
        <v>22</v>
      </c>
      <c r="J2" s="52" t="s">
        <v>23</v>
      </c>
      <c r="K2" s="52" t="s">
        <v>24</v>
      </c>
      <c r="L2" s="52" t="s">
        <v>25</v>
      </c>
      <c r="M2" s="52" t="s">
        <v>26</v>
      </c>
      <c r="N2" s="52" t="s">
        <v>27</v>
      </c>
      <c r="O2" s="52" t="s">
        <v>28</v>
      </c>
      <c r="P2" s="52" t="s">
        <v>29</v>
      </c>
      <c r="Q2" s="52" t="s">
        <v>30</v>
      </c>
      <c r="R2" s="52" t="s">
        <v>31</v>
      </c>
      <c r="S2" s="52" t="s">
        <v>32</v>
      </c>
      <c r="T2" s="52" t="s">
        <v>33</v>
      </c>
      <c r="U2" s="52" t="s">
        <v>34</v>
      </c>
      <c r="V2" s="52" t="s">
        <v>35</v>
      </c>
      <c r="W2" s="52" t="s">
        <v>36</v>
      </c>
      <c r="X2" s="2" t="s">
        <v>37</v>
      </c>
      <c r="Y2" s="2" t="s">
        <v>38</v>
      </c>
      <c r="Z2" s="2" t="s">
        <v>39</v>
      </c>
      <c r="AA2" s="3" t="s">
        <v>40</v>
      </c>
      <c r="AB2" s="3" t="s">
        <v>41</v>
      </c>
      <c r="AC2" s="3" t="s">
        <v>42</v>
      </c>
      <c r="AD2" s="3" t="s">
        <v>43</v>
      </c>
      <c r="AE2" s="3" t="s">
        <v>44</v>
      </c>
      <c r="AF2" s="3" t="s">
        <v>45</v>
      </c>
      <c r="AG2" s="4" t="s">
        <v>46</v>
      </c>
      <c r="AH2" s="4" t="s">
        <v>47</v>
      </c>
      <c r="AI2" s="4" t="s">
        <v>48</v>
      </c>
      <c r="AJ2" s="4" t="s">
        <v>49</v>
      </c>
      <c r="AK2" s="4" t="s">
        <v>50</v>
      </c>
      <c r="AL2" s="4" t="s">
        <v>51</v>
      </c>
      <c r="AM2" s="5" t="s">
        <v>52</v>
      </c>
      <c r="AN2" s="5" t="s">
        <v>53</v>
      </c>
      <c r="AO2" s="5" t="s">
        <v>54</v>
      </c>
      <c r="AP2" s="5" t="s">
        <v>55</v>
      </c>
      <c r="AQ2" s="5" t="s">
        <v>56</v>
      </c>
      <c r="AR2" s="5" t="s">
        <v>57</v>
      </c>
      <c r="AS2" s="5" t="s">
        <v>58</v>
      </c>
      <c r="AT2" s="6" t="s">
        <v>59</v>
      </c>
      <c r="AU2" s="6" t="s">
        <v>60</v>
      </c>
      <c r="AV2" s="6" t="s">
        <v>61</v>
      </c>
      <c r="AW2" s="7" t="s">
        <v>62</v>
      </c>
      <c r="AX2" s="15" t="s">
        <v>63</v>
      </c>
      <c r="AY2" s="15" t="s">
        <v>64</v>
      </c>
      <c r="AZ2" s="15" t="s">
        <v>65</v>
      </c>
      <c r="BA2" s="7" t="s">
        <v>66</v>
      </c>
      <c r="BB2" s="15" t="s">
        <v>67</v>
      </c>
      <c r="BC2" s="15" t="s">
        <v>68</v>
      </c>
      <c r="BD2" s="15" t="s">
        <v>69</v>
      </c>
      <c r="BE2" s="7" t="s">
        <v>70</v>
      </c>
      <c r="BF2" s="15" t="s">
        <v>71</v>
      </c>
      <c r="BG2" s="15" t="s">
        <v>72</v>
      </c>
      <c r="BH2" s="15" t="s">
        <v>73</v>
      </c>
      <c r="BI2" s="7" t="s">
        <v>74</v>
      </c>
      <c r="BJ2" s="15" t="s">
        <v>75</v>
      </c>
      <c r="BK2" s="15" t="s">
        <v>76</v>
      </c>
      <c r="BL2" s="15" t="s">
        <v>77</v>
      </c>
      <c r="BM2" s="7" t="s">
        <v>78</v>
      </c>
      <c r="BN2" s="15" t="s">
        <v>79</v>
      </c>
      <c r="BO2" s="15" t="s">
        <v>80</v>
      </c>
      <c r="BP2" s="15" t="s">
        <v>81</v>
      </c>
      <c r="BQ2" s="7" t="s">
        <v>82</v>
      </c>
      <c r="BR2" s="15" t="s">
        <v>83</v>
      </c>
      <c r="BS2" s="15" t="s">
        <v>84</v>
      </c>
      <c r="BT2" s="15" t="s">
        <v>85</v>
      </c>
      <c r="BU2" s="8" t="s">
        <v>86</v>
      </c>
      <c r="BV2" s="8" t="s">
        <v>87</v>
      </c>
      <c r="BW2" s="8" t="s">
        <v>88</v>
      </c>
      <c r="BX2" s="8" t="s">
        <v>89</v>
      </c>
      <c r="BY2" s="8" t="s">
        <v>90</v>
      </c>
      <c r="BZ2" s="8" t="s">
        <v>91</v>
      </c>
      <c r="CA2" s="8" t="s">
        <v>92</v>
      </c>
      <c r="CB2" s="9" t="s">
        <v>93</v>
      </c>
      <c r="CC2" s="9" t="s">
        <v>94</v>
      </c>
      <c r="CD2" s="9" t="s">
        <v>95</v>
      </c>
      <c r="CE2" s="10" t="s">
        <v>96</v>
      </c>
      <c r="CF2" s="11" t="s">
        <v>97</v>
      </c>
      <c r="CG2" s="11" t="s">
        <v>98</v>
      </c>
      <c r="CH2" s="11" t="s">
        <v>99</v>
      </c>
      <c r="CI2" s="12" t="s">
        <v>100</v>
      </c>
      <c r="CJ2" s="13" t="s">
        <v>101</v>
      </c>
      <c r="CK2" s="14" t="s">
        <v>102</v>
      </c>
      <c r="CL2" s="14" t="s">
        <v>103</v>
      </c>
      <c r="CM2" s="14" t="s">
        <v>104</v>
      </c>
      <c r="CN2" s="14" t="s">
        <v>105</v>
      </c>
      <c r="CO2" s="14" t="s">
        <v>106</v>
      </c>
      <c r="CP2" s="14" t="s">
        <v>107</v>
      </c>
      <c r="CQ2" s="53" t="s">
        <v>10</v>
      </c>
      <c r="CR2" s="53" t="s">
        <v>108</v>
      </c>
      <c r="CS2" s="53" t="s">
        <v>109</v>
      </c>
      <c r="CT2" s="53" t="s">
        <v>110</v>
      </c>
      <c r="CU2" s="53" t="s">
        <v>111</v>
      </c>
      <c r="CV2" s="53" t="s">
        <v>112</v>
      </c>
      <c r="CW2" s="53" t="s">
        <v>113</v>
      </c>
      <c r="CX2" s="53" t="s">
        <v>114</v>
      </c>
      <c r="CY2" s="53" t="s">
        <v>115</v>
      </c>
      <c r="CZ2" s="54" t="s">
        <v>116</v>
      </c>
      <c r="DA2" s="53" t="s">
        <v>117</v>
      </c>
      <c r="DB2" s="53" t="s">
        <v>118</v>
      </c>
      <c r="DC2" s="53" t="s">
        <v>119</v>
      </c>
      <c r="DD2" s="54" t="s">
        <v>120</v>
      </c>
      <c r="DE2" s="53" t="s">
        <v>121</v>
      </c>
      <c r="DF2" s="53" t="s">
        <v>122</v>
      </c>
      <c r="DG2" s="53" t="s">
        <v>123</v>
      </c>
      <c r="DH2" s="54" t="s">
        <v>124</v>
      </c>
      <c r="DI2" s="53" t="s">
        <v>125</v>
      </c>
      <c r="DJ2" s="53" t="s">
        <v>126</v>
      </c>
      <c r="DK2" s="55" t="s">
        <v>127</v>
      </c>
      <c r="DL2" s="54" t="s">
        <v>128</v>
      </c>
      <c r="DM2" s="53" t="s">
        <v>129</v>
      </c>
      <c r="DN2" s="53" t="s">
        <v>130</v>
      </c>
      <c r="DO2" s="55" t="s">
        <v>131</v>
      </c>
      <c r="DP2" s="49" t="s">
        <v>132</v>
      </c>
      <c r="DQ2" s="56" t="s">
        <v>133</v>
      </c>
      <c r="DR2" s="56" t="s">
        <v>134</v>
      </c>
      <c r="DS2" s="56" t="s">
        <v>135</v>
      </c>
      <c r="DT2" s="56" t="s">
        <v>136</v>
      </c>
      <c r="DU2" s="56" t="s">
        <v>137</v>
      </c>
      <c r="DV2" s="56" t="s">
        <v>138</v>
      </c>
      <c r="DW2" s="56" t="s">
        <v>139</v>
      </c>
      <c r="DX2" s="56" t="s">
        <v>140</v>
      </c>
      <c r="DY2" s="56" t="s">
        <v>141</v>
      </c>
      <c r="DZ2" s="56" t="s">
        <v>142</v>
      </c>
      <c r="EA2" s="56" t="s">
        <v>143</v>
      </c>
      <c r="EB2" s="56" t="s">
        <v>144</v>
      </c>
      <c r="EC2" s="54" t="s">
        <v>145</v>
      </c>
      <c r="ED2" s="53" t="s">
        <v>146</v>
      </c>
      <c r="EE2" s="53" t="s">
        <v>147</v>
      </c>
      <c r="EF2" s="53" t="s">
        <v>148</v>
      </c>
      <c r="EG2" s="54" t="s">
        <v>149</v>
      </c>
      <c r="EH2" s="53" t="s">
        <v>150</v>
      </c>
      <c r="EI2" s="53" t="s">
        <v>151</v>
      </c>
      <c r="EJ2" s="53" t="s">
        <v>152</v>
      </c>
      <c r="EK2" s="54" t="s">
        <v>153</v>
      </c>
      <c r="EL2" s="53" t="s">
        <v>154</v>
      </c>
      <c r="EM2" s="53" t="s">
        <v>155</v>
      </c>
      <c r="EN2" s="55" t="s">
        <v>156</v>
      </c>
      <c r="EO2" s="54" t="s">
        <v>157</v>
      </c>
      <c r="EP2" s="53" t="s">
        <v>158</v>
      </c>
      <c r="EQ2" s="53" t="s">
        <v>159</v>
      </c>
      <c r="ER2" s="55" t="s">
        <v>160</v>
      </c>
      <c r="ES2" s="39" t="s">
        <v>1644</v>
      </c>
      <c r="ET2" s="39" t="s">
        <v>1645</v>
      </c>
      <c r="EU2" s="40" t="s">
        <v>1646</v>
      </c>
      <c r="EV2" s="40" t="s">
        <v>1647</v>
      </c>
      <c r="EW2" s="40" t="s">
        <v>1648</v>
      </c>
      <c r="EX2" s="40" t="s">
        <v>1649</v>
      </c>
      <c r="EY2" s="40" t="s">
        <v>1650</v>
      </c>
      <c r="EZ2" s="40" t="s">
        <v>1651</v>
      </c>
      <c r="FA2" s="40" t="s">
        <v>1652</v>
      </c>
      <c r="FB2" s="34"/>
      <c r="FC2" s="34"/>
      <c r="FD2" s="34"/>
      <c r="FE2" s="34"/>
      <c r="FF2" s="34"/>
      <c r="FG2" s="35"/>
      <c r="FH2" s="34"/>
      <c r="GP2" s="22" t="s">
        <v>1640</v>
      </c>
    </row>
    <row r="3" spans="1:198" ht="20.25" customHeight="1">
      <c r="A3" s="41"/>
      <c r="B3" s="42"/>
      <c r="C3" s="43"/>
      <c r="D3" s="43"/>
      <c r="E3" s="43"/>
      <c r="F3" s="43"/>
      <c r="G3" s="43"/>
      <c r="H3" s="43"/>
      <c r="I3" s="43"/>
      <c r="J3" s="43"/>
      <c r="K3" s="43"/>
      <c r="L3" s="44"/>
      <c r="M3" s="43"/>
      <c r="N3" s="43"/>
      <c r="O3" s="43"/>
      <c r="P3" s="43"/>
      <c r="Q3" s="43"/>
      <c r="R3" s="43"/>
      <c r="S3" s="43"/>
      <c r="T3" s="43"/>
      <c r="U3" s="43"/>
      <c r="V3" s="43"/>
      <c r="W3" s="43"/>
      <c r="X3"/>
      <c r="AA3" s="16"/>
      <c r="AB3"/>
      <c r="CZ3"/>
      <c r="DA3"/>
      <c r="DB3" s="16"/>
      <c r="DC3"/>
      <c r="DD3"/>
      <c r="DE3"/>
      <c r="DF3"/>
      <c r="DG3"/>
      <c r="DH3"/>
      <c r="DI3"/>
      <c r="DJ3"/>
      <c r="DK3"/>
      <c r="DL3"/>
      <c r="DM3"/>
      <c r="DN3"/>
      <c r="DO3"/>
      <c r="DP3"/>
      <c r="DQ3" s="1">
        <f t="shared" ref="DQ3:DQ34" si="0">CR3</f>
        <v>0</v>
      </c>
      <c r="DR3" s="1">
        <f t="shared" ref="DR3:DR34" si="1">DB3</f>
        <v>0</v>
      </c>
      <c r="DS3" s="1">
        <f t="shared" ref="DS3:DS34" si="2">CT3</f>
        <v>0</v>
      </c>
      <c r="DT3" s="1">
        <f t="shared" ref="DT3:DT34" si="3">DF3</f>
        <v>0</v>
      </c>
      <c r="DU3" s="1">
        <f t="shared" ref="DU3:DU34" si="4">CV3</f>
        <v>0</v>
      </c>
      <c r="DV3" s="1">
        <f t="shared" ref="DV3:DV34" si="5">DJ3</f>
        <v>0</v>
      </c>
      <c r="DW3" s="1">
        <f t="shared" ref="DW3:DW34" si="6">CX3</f>
        <v>0</v>
      </c>
      <c r="DX3" s="1">
        <f t="shared" ref="DX3:DX34" si="7">DN3</f>
        <v>0</v>
      </c>
      <c r="DY3" s="1" t="str">
        <f t="array" ref="DY3">_xlfn.LET(
_xlpm.a,LOWER(TRIM(DQ3&amp;"")),
_xlpm.b,LOWER(TRIM(DR3&amp;"")),
_xlpm.x,_xlfn.IFS(_xlpm.a="0",0,_xlpm.a="none",0,_xlpm.a="moderate",1,_xlpm.a="strong",2),
_xlpm.y,_xlfn.IFS(_xlpm.b="0",0,_xlpm.b="none",0,_xlpm.b="moderate",1,_xlpm.b="strong",2),
_xlpm.d,ABS(_xlpm.x-_xlpm.y),
IF(_xlpm.d=0,"green",IF(_xlpm.d=1,"orange",IF(_xlpm.d=2,"red","check")))
)</f>
        <v>green</v>
      </c>
      <c r="DZ3" s="1" t="str">
        <f t="array" ref="DZ3">_xlfn.LET(
_xlpm.a,LOWER(TRIM(DS3&amp;"")),
_xlpm.b,LOWER(TRIM(DT3&amp;"")),
_xlpm.x,_xlfn.IFS(_xlpm.a="0",0,_xlpm.a="none",0,_xlpm.a="moderate",1,_xlpm.a="strong",2),
_xlpm.y,_xlfn.IFS(_xlpm.b="0",0,_xlpm.b="none",0,_xlpm.b="moderate",1,_xlpm.b="strong",2),
_xlpm.d,ABS(_xlpm.x-_xlpm.y),
IF(_xlpm.d=0,"green",IF(_xlpm.d=1,"orange",IF(_xlpm.d=2,"red","check")))
)</f>
        <v>green</v>
      </c>
      <c r="EA3" s="1" t="str">
        <f t="array" ref="EA3">_xlfn.LET(
_xlpm.a,LOWER(TRIM(DU3&amp;"")),
_xlpm.b,LOWER(TRIM(DV3&amp;"")),
_xlpm.x,_xlfn.IFS(_xlpm.a="0",0,_xlpm.a="none",0,_xlpm.a="moderate",1,_xlpm.a="strong",2),
_xlpm.y,_xlfn.IFS(_xlpm.b="0",0,_xlpm.b="none",0,_xlpm.b="moderate",1,_xlpm.b="strong",2),
_xlpm.d,ABS(_xlpm.x-_xlpm.y),
IF(_xlpm.d=0,"green",IF(_xlpm.d=1,"orange",IF(_xlpm.d=2,"red","check")))
)</f>
        <v>green</v>
      </c>
      <c r="EB3" s="1" t="str">
        <f t="array" ref="EB3">_xlfn.LET(
_xlpm.a,LOWER(TRIM(DW3&amp;"")),
_xlpm.b,LOWER(TRIM(DX3&amp;"")),
_xlpm.x,_xlfn.IFS(_xlpm.a="0",0,_xlpm.a="none",0,_xlpm.a="moderate",1,_xlpm.a="strong",2),
_xlpm.y,_xlfn.IFS(_xlpm.b="0",0,_xlpm.b="none",0,_xlpm.b="moderate",1,_xlpm.b="strong",2),
_xlpm.d,ABS(_xlpm.x-_xlpm.y),
IF(_xlpm.d=0,"green",IF(_xlpm.d=1,"orange",IF(_xlpm.d=2,"red","check")))
)</f>
        <v>green</v>
      </c>
      <c r="EC3"/>
      <c r="ED3"/>
      <c r="EE3"/>
      <c r="EF3"/>
      <c r="EG3"/>
      <c r="EH3"/>
      <c r="EI3"/>
      <c r="EJ3"/>
      <c r="EK3"/>
      <c r="EL3"/>
      <c r="EM3"/>
      <c r="EN3"/>
      <c r="EO3"/>
      <c r="EP3"/>
      <c r="EQ3"/>
      <c r="ER3"/>
      <c r="ES3" s="58" t="str">
        <f>IFERROR(VALUE(_xlfn.TEXTBEFORE(_xlfn.TEXTAFTER(AC3,"""84a544d4-0c20-4f9f-bb4b-dd698a9b0c0b"":"),",")),IFERROR(VALUE(_xlfn.TEXTBEFORE(_xlfn.TEXTAFTER(AC3,"""84a544d4-0c20-4f9f-bb4b-dd698a9b0c0b"":"),"}")),IFERROR(VALUE(_xlfn.TEXTBEFORE(_xlfn.TEXTAFTER(AC3,"""784c5905-6667-4dcd-906c-8b405a6572b6"":"),",")),IFERROR(VALUE(_xlfn.TEXTBEFORE(_xlfn.TEXTAFTER(AC3,"""784c5905-6667-4dcd-906c-8b405a6572b6"":"),"}")),""))))</f>
        <v/>
      </c>
      <c r="ET3" s="58" t="str">
        <f>IF(OR(DF3="Strong",DF3="Moderate",DJ3="Strong",DJ3="Moderate",DN3="Strong",DN3="Moderate"),"Yes","No")</f>
        <v>No</v>
      </c>
      <c r="EU3" s="59" t="str">
        <f>IF(AND(DE3&gt;=3,DD3=1),"Positive concordance",IF(AND(DE3&gt;=3,DD3&gt;=2),"Gap",IF(AND(DE3&lt;=2,DD3&gt;=2),"Negative concordance","Uninformative")))</f>
        <v>Uninformative</v>
      </c>
      <c r="EV3" s="59" t="str">
        <f>IF(AND(DI3&gt;=3,DH3=1),"Positive concordance",IF(AND(DI3&gt;=3,DH3&gt;=2),"Gap",IF(AND(DI3&lt;=2,DH3&gt;=2),"Negative concordance","Uninformative")))</f>
        <v>Uninformative</v>
      </c>
      <c r="EW3" s="59" t="str">
        <f>IF(AND(DM3&gt;=3,DL3=1),"Positive concordance",IF(AND(DM3&gt;=3,DL3&gt;=2),"Gap",IF(AND(DM3&lt;=2,DL3&gt;=2),"Negative concordance","Uninformative")))</f>
        <v>Uninformative</v>
      </c>
      <c r="EX3" s="58" t="str">
        <f>IF(AND(DE3=4,DD3=1),"Positive concordance",IF(AND(DE3=4,DD3&gt;=2),"Gap",IF(AND(DE3&lt;=3,DD3&gt;=2),"Negative concordance","Uninformative")))</f>
        <v>Uninformative</v>
      </c>
      <c r="EY3" s="58" t="str">
        <f>IF(AND(DI3=4,DH3=1),"Positive concordance",IF(AND(DI3=4,DH3&gt;=2),"Gap",IF(AND(DI3&lt;=3,DH3&gt;=2),"Negative concordance","Uninformative")))</f>
        <v>Uninformative</v>
      </c>
      <c r="EZ3" s="58" t="str">
        <f>IF(AND(DM3=4,DL3=1),"Positive concordance",IF(AND(DM3=4,DL3&gt;=2),"Gap",IF(AND(DM3&lt;=3,DL3&gt;=2),"Negative concordance","Uninformative")))</f>
        <v>Uninformative</v>
      </c>
      <c r="FA3" s="58" t="str">
        <f>IF(OR(EX3="Gap",EY3="Gap",EZ3="Gap"),"Yes","No")</f>
        <v>No</v>
      </c>
      <c r="FB3" s="36"/>
      <c r="FC3" s="34"/>
      <c r="FD3" s="35"/>
      <c r="FE3" s="34"/>
      <c r="FF3" s="34"/>
      <c r="FG3" s="37"/>
      <c r="FH3" s="34"/>
    </row>
    <row r="4" spans="1:198" ht="20" customHeight="1">
      <c r="A4" s="32"/>
      <c r="B4" s="32"/>
      <c r="C4" s="32"/>
      <c r="D4" s="32"/>
      <c r="E4" s="32"/>
      <c r="F4" s="32"/>
      <c r="G4" s="32"/>
      <c r="H4" s="32"/>
      <c r="I4" s="32"/>
      <c r="J4" s="32"/>
      <c r="K4" s="32"/>
      <c r="L4" s="32"/>
      <c r="M4" s="32"/>
      <c r="N4" s="32"/>
      <c r="O4" s="32"/>
      <c r="P4" s="32"/>
      <c r="Q4" s="32"/>
      <c r="R4" s="32"/>
      <c r="S4" s="32"/>
      <c r="T4" s="32"/>
      <c r="U4" s="32"/>
      <c r="V4" s="32"/>
      <c r="W4" s="32"/>
      <c r="X4"/>
      <c r="Y4"/>
      <c r="Z4"/>
      <c r="AA4"/>
      <c r="AB4"/>
      <c r="AC4"/>
      <c r="AD4"/>
      <c r="AG4"/>
      <c r="AH4"/>
      <c r="AI4"/>
      <c r="AJ4"/>
      <c r="AK4"/>
      <c r="AL4"/>
      <c r="AM4"/>
      <c r="AN4"/>
      <c r="AO4"/>
      <c r="AP4"/>
      <c r="AQ4"/>
      <c r="AR4"/>
      <c r="AS4"/>
      <c r="AT4"/>
      <c r="AU4"/>
      <c r="AV4"/>
      <c r="AW4"/>
      <c r="AX4"/>
      <c r="AY4"/>
      <c r="AZ4"/>
      <c r="BA4"/>
      <c r="BB4"/>
      <c r="BC4"/>
      <c r="BD4"/>
      <c r="BE4"/>
      <c r="BF4"/>
      <c r="BG4"/>
      <c r="BH4"/>
      <c r="BI4"/>
      <c r="BJ4"/>
      <c r="BK4"/>
      <c r="BL4"/>
      <c r="BQ4"/>
      <c r="BR4"/>
      <c r="BS4"/>
      <c r="BT4"/>
      <c r="BU4"/>
      <c r="BV4"/>
      <c r="BW4"/>
      <c r="BX4"/>
      <c r="BY4"/>
      <c r="BZ4"/>
      <c r="CB4"/>
      <c r="CC4"/>
      <c r="CD4"/>
      <c r="CF4"/>
      <c r="CG4"/>
      <c r="CH4"/>
      <c r="CJ4"/>
      <c r="CK4"/>
      <c r="CL4"/>
      <c r="CM4"/>
      <c r="CN4"/>
      <c r="CP4"/>
      <c r="CQ4"/>
      <c r="CR4"/>
      <c r="CS4" s="16"/>
      <c r="CT4"/>
      <c r="CU4"/>
      <c r="CV4"/>
      <c r="CW4"/>
      <c r="CX4"/>
      <c r="CY4"/>
      <c r="CZ4"/>
      <c r="DA4"/>
      <c r="DB4"/>
      <c r="DC4"/>
      <c r="DD4"/>
      <c r="DE4"/>
      <c r="DF4"/>
      <c r="DG4"/>
      <c r="DH4"/>
      <c r="DI4"/>
      <c r="DJ4"/>
      <c r="DK4"/>
      <c r="DL4"/>
      <c r="DM4"/>
      <c r="DN4"/>
      <c r="DO4"/>
      <c r="DP4"/>
      <c r="DQ4" s="1">
        <f t="shared" si="0"/>
        <v>0</v>
      </c>
      <c r="DR4" s="1">
        <f t="shared" si="1"/>
        <v>0</v>
      </c>
      <c r="DS4" s="1">
        <f t="shared" si="2"/>
        <v>0</v>
      </c>
      <c r="DT4" s="1">
        <f t="shared" si="3"/>
        <v>0</v>
      </c>
      <c r="DU4" s="1">
        <f t="shared" si="4"/>
        <v>0</v>
      </c>
      <c r="DV4" s="1">
        <f t="shared" si="5"/>
        <v>0</v>
      </c>
      <c r="DW4" s="1">
        <f t="shared" si="6"/>
        <v>0</v>
      </c>
      <c r="DX4" s="1">
        <f t="shared" si="7"/>
        <v>0</v>
      </c>
      <c r="DY4" s="1" t="str">
        <f t="array" ref="DY4">_xlfn.LET(
_xlpm.a,LOWER(TRIM(DQ4&amp;"")),
_xlpm.b,LOWER(TRIM(DR4&amp;"")),
_xlpm.x,_xlfn.IFS(_xlpm.a="0",0,_xlpm.a="none",0,_xlpm.a="moderate",1,_xlpm.a="strong",2),
_xlpm.y,_xlfn.IFS(_xlpm.b="0",0,_xlpm.b="none",0,_xlpm.b="moderate",1,_xlpm.b="strong",2),
_xlpm.d,ABS(_xlpm.x-_xlpm.y),
IF(_xlpm.d=0,"green",IF(_xlpm.d=1,"orange",IF(_xlpm.d=2,"red","check")))
)</f>
        <v>green</v>
      </c>
      <c r="DZ4" s="1" t="str">
        <f t="array" ref="DZ4">_xlfn.LET(
_xlpm.a,LOWER(TRIM(DS4&amp;"")),
_xlpm.b,LOWER(TRIM(DT4&amp;"")),
_xlpm.x,_xlfn.IFS(_xlpm.a="0",0,_xlpm.a="none",0,_xlpm.a="moderate",1,_xlpm.a="strong",2),
_xlpm.y,_xlfn.IFS(_xlpm.b="0",0,_xlpm.b="none",0,_xlpm.b="moderate",1,_xlpm.b="strong",2),
_xlpm.d,ABS(_xlpm.x-_xlpm.y),
IF(_xlpm.d=0,"green",IF(_xlpm.d=1,"orange",IF(_xlpm.d=2,"red","check")))
)</f>
        <v>green</v>
      </c>
      <c r="EA4" s="1" t="str">
        <f t="array" ref="EA4">_xlfn.LET(
_xlpm.a,LOWER(TRIM(DU4&amp;"")),
_xlpm.b,LOWER(TRIM(DV4&amp;"")),
_xlpm.x,_xlfn.IFS(_xlpm.a="0",0,_xlpm.a="none",0,_xlpm.a="moderate",1,_xlpm.a="strong",2),
_xlpm.y,_xlfn.IFS(_xlpm.b="0",0,_xlpm.b="none",0,_xlpm.b="moderate",1,_xlpm.b="strong",2),
_xlpm.d,ABS(_xlpm.x-_xlpm.y),
IF(_xlpm.d=0,"green",IF(_xlpm.d=1,"orange",IF(_xlpm.d=2,"red","check")))
)</f>
        <v>green</v>
      </c>
      <c r="EB4" s="1" t="str">
        <f t="array" ref="EB4">_xlfn.LET(
_xlpm.a,LOWER(TRIM(DW4&amp;"")),
_xlpm.b,LOWER(TRIM(DX4&amp;"")),
_xlpm.x,_xlfn.IFS(_xlpm.a="0",0,_xlpm.a="none",0,_xlpm.a="moderate",1,_xlpm.a="strong",2),
_xlpm.y,_xlfn.IFS(_xlpm.b="0",0,_xlpm.b="none",0,_xlpm.b="moderate",1,_xlpm.b="strong",2),
_xlpm.d,ABS(_xlpm.x-_xlpm.y),
IF(_xlpm.d=0,"green",IF(_xlpm.d=1,"orange",IF(_xlpm.d=2,"red","check")))
)</f>
        <v>green</v>
      </c>
      <c r="EC4"/>
      <c r="ED4"/>
      <c r="EE4"/>
      <c r="EF4"/>
      <c r="EG4"/>
      <c r="EH4"/>
      <c r="EI4"/>
      <c r="EJ4"/>
      <c r="EK4"/>
      <c r="EL4"/>
      <c r="EM4"/>
      <c r="EN4"/>
      <c r="EO4"/>
      <c r="EP4"/>
      <c r="EQ4"/>
      <c r="ER4"/>
      <c r="ES4" s="58" t="str">
        <f t="shared" ref="ES4:ES67" si="8">IFERROR(VALUE(_xlfn.TEXTBEFORE(_xlfn.TEXTAFTER(AC4,"""84a544d4-0c20-4f9f-bb4b-dd698a9b0c0b"":"),",")),IFERROR(VALUE(_xlfn.TEXTBEFORE(_xlfn.TEXTAFTER(AC4,"""84a544d4-0c20-4f9f-bb4b-dd698a9b0c0b"":"),"}")),IFERROR(VALUE(_xlfn.TEXTBEFORE(_xlfn.TEXTAFTER(AC4,"""784c5905-6667-4dcd-906c-8b405a6572b6"":"),",")),IFERROR(VALUE(_xlfn.TEXTBEFORE(_xlfn.TEXTAFTER(AC4,"""784c5905-6667-4dcd-906c-8b405a6572b6"":"),"}")),""))))</f>
        <v/>
      </c>
      <c r="ET4" s="58" t="str">
        <f t="shared" ref="ET4:ET67" si="9">IF(OR(DF4="Strong",DF4="Moderate",DJ4="Strong",DJ4="Moderate",DN4="Strong",DN4="Moderate"),"Yes","No")</f>
        <v>No</v>
      </c>
      <c r="EU4" s="59" t="str">
        <f>IF(AND(DE4&gt;=3,DD4=1),"Positive concordance",IF(AND(DE4&gt;=3,DD4&gt;=2),"Gap",IF(AND(DE4&lt;=2,DD4&gt;=2),"Negative concordance","Uninformative")))</f>
        <v>Uninformative</v>
      </c>
      <c r="EV4" s="59" t="str">
        <f>IF(AND(DI4&gt;=3,DH4=1),"Positive concordance",IF(AND(DI4&gt;=3,DH4&gt;=2),"Gap",IF(AND(DI4&lt;=2,DH4&gt;=2),"Negative concordance","Uninformative")))</f>
        <v>Uninformative</v>
      </c>
      <c r="EW4" s="59" t="str">
        <f t="shared" ref="EW4:EW67" si="10">IF(AND(DM4&gt;=3,DL4=1),"Positive concordance",IF(AND(DM4&gt;=3,DL4&gt;=2),"Gap",IF(AND(DM4&lt;=2,DL4&gt;=2),"Negative concordance","Uninformative")))</f>
        <v>Uninformative</v>
      </c>
      <c r="EX4" s="58" t="str">
        <f t="shared" ref="EX4:EX67" si="11">IF(AND(DE4=4,DD4=1),"Positive concordance",IF(AND(DE4=4,DD4&gt;=2),"Gap",IF(AND(DE4&lt;=3,DD4&gt;=2),"Negative concordance","Uninformative")))</f>
        <v>Uninformative</v>
      </c>
      <c r="EY4" s="58" t="str">
        <f t="shared" ref="EY4:EY67" si="12">IF(AND(DI4=4,DH4=1),"Positive concordance",IF(AND(DI4=4,DH4&gt;=2),"Gap",IF(AND(DI4&lt;=3,DH4&gt;=2),"Negative concordance","Uninformative")))</f>
        <v>Uninformative</v>
      </c>
      <c r="EZ4" s="58" t="str">
        <f t="shared" ref="EZ4:EZ67" si="13">IF(AND(DM4=4,DL4=1),"Positive concordance",IF(AND(DM4=4,DL4&gt;=2),"Gap",IF(AND(DM4&lt;=3,DL4&gt;=2),"Negative concordance","Uninformative")))</f>
        <v>Uninformative</v>
      </c>
      <c r="FA4" s="58" t="str">
        <f t="shared" ref="FA4:FA67" si="14">IF(OR(EX4="Gap",EY4="Gap",EZ4="Gap"),"Yes","No")</f>
        <v>No</v>
      </c>
      <c r="FB4" s="34"/>
      <c r="FC4" s="34"/>
      <c r="FD4" s="37"/>
      <c r="FE4" s="34"/>
      <c r="FF4" s="34"/>
      <c r="FG4" s="34"/>
      <c r="FH4" s="34"/>
    </row>
    <row r="5" spans="1:198" ht="20" customHeight="1">
      <c r="A5" s="32"/>
      <c r="B5" s="32"/>
      <c r="C5" s="32"/>
      <c r="D5" s="32"/>
      <c r="E5" s="32"/>
      <c r="F5" s="32"/>
      <c r="G5" s="32"/>
      <c r="H5" s="32"/>
      <c r="I5" s="32"/>
      <c r="J5" s="32"/>
      <c r="K5" s="32"/>
      <c r="L5" s="32"/>
      <c r="M5" s="32"/>
      <c r="N5" s="32"/>
      <c r="O5" s="32"/>
      <c r="P5" s="32"/>
      <c r="Q5" s="32"/>
      <c r="R5" s="32"/>
      <c r="S5" s="32"/>
      <c r="T5" s="32"/>
      <c r="U5" s="32"/>
      <c r="V5" s="32"/>
      <c r="W5" s="32"/>
      <c r="X5"/>
      <c r="Y5"/>
      <c r="Z5"/>
      <c r="AA5"/>
      <c r="AB5"/>
      <c r="AC5"/>
      <c r="AD5"/>
      <c r="AG5"/>
      <c r="AH5"/>
      <c r="AI5"/>
      <c r="AJ5"/>
      <c r="AK5"/>
      <c r="AL5"/>
      <c r="AM5"/>
      <c r="AN5"/>
      <c r="AO5"/>
      <c r="AP5"/>
      <c r="AQ5"/>
      <c r="AR5"/>
      <c r="AS5"/>
      <c r="AT5"/>
      <c r="AU5"/>
      <c r="AV5"/>
      <c r="AW5"/>
      <c r="AX5"/>
      <c r="AY5"/>
      <c r="AZ5"/>
      <c r="BA5"/>
      <c r="BB5"/>
      <c r="BC5"/>
      <c r="BD5"/>
      <c r="BE5"/>
      <c r="BF5"/>
      <c r="BG5"/>
      <c r="BH5"/>
      <c r="BI5"/>
      <c r="BJ5"/>
      <c r="BK5"/>
      <c r="BL5"/>
      <c r="BQ5"/>
      <c r="BR5"/>
      <c r="BS5"/>
      <c r="BT5"/>
      <c r="BU5"/>
      <c r="BV5"/>
      <c r="BW5"/>
      <c r="BX5"/>
      <c r="BY5"/>
      <c r="BZ5"/>
      <c r="CB5"/>
      <c r="CC5"/>
      <c r="CD5"/>
      <c r="CF5"/>
      <c r="CG5"/>
      <c r="CH5"/>
      <c r="CJ5"/>
      <c r="CK5"/>
      <c r="CL5"/>
      <c r="CM5"/>
      <c r="CN5"/>
      <c r="CP5"/>
      <c r="CQ5"/>
      <c r="CR5"/>
      <c r="CS5"/>
      <c r="CT5"/>
      <c r="CU5"/>
      <c r="CV5"/>
      <c r="CW5"/>
      <c r="CX5"/>
      <c r="CY5"/>
      <c r="CZ5"/>
      <c r="DA5"/>
      <c r="DB5"/>
      <c r="DC5"/>
      <c r="DD5"/>
      <c r="DE5"/>
      <c r="DF5"/>
      <c r="DG5"/>
      <c r="DH5"/>
      <c r="DI5"/>
      <c r="DJ5"/>
      <c r="DK5"/>
      <c r="DL5"/>
      <c r="DM5"/>
      <c r="DN5"/>
      <c r="DO5"/>
      <c r="DP5"/>
      <c r="DQ5" s="1">
        <f t="shared" si="0"/>
        <v>0</v>
      </c>
      <c r="DR5" s="1">
        <f t="shared" si="1"/>
        <v>0</v>
      </c>
      <c r="DS5" s="1">
        <f t="shared" si="2"/>
        <v>0</v>
      </c>
      <c r="DT5" s="1">
        <f t="shared" si="3"/>
        <v>0</v>
      </c>
      <c r="DU5" s="1">
        <f t="shared" si="4"/>
        <v>0</v>
      </c>
      <c r="DV5" s="1">
        <f t="shared" si="5"/>
        <v>0</v>
      </c>
      <c r="DW5" s="1">
        <f t="shared" si="6"/>
        <v>0</v>
      </c>
      <c r="DX5" s="1">
        <f t="shared" si="7"/>
        <v>0</v>
      </c>
      <c r="DY5" s="1" t="str">
        <f t="array" ref="DY5">_xlfn.LET(
_xlpm.a,LOWER(TRIM(DQ5&amp;"")),
_xlpm.b,LOWER(TRIM(DR5&amp;"")),
_xlpm.x,_xlfn.IFS(_xlpm.a="0",0,_xlpm.a="none",0,_xlpm.a="moderate",1,_xlpm.a="strong",2),
_xlpm.y,_xlfn.IFS(_xlpm.b="0",0,_xlpm.b="none",0,_xlpm.b="moderate",1,_xlpm.b="strong",2),
_xlpm.d,ABS(_xlpm.x-_xlpm.y),
IF(_xlpm.d=0,"green",IF(_xlpm.d=1,"orange",IF(_xlpm.d=2,"red","check")))
)</f>
        <v>green</v>
      </c>
      <c r="DZ5" s="1" t="str">
        <f t="array" ref="DZ5">_xlfn.LET(
_xlpm.a,LOWER(TRIM(DS5&amp;"")),
_xlpm.b,LOWER(TRIM(DT5&amp;"")),
_xlpm.x,_xlfn.IFS(_xlpm.a="0",0,_xlpm.a="none",0,_xlpm.a="moderate",1,_xlpm.a="strong",2),
_xlpm.y,_xlfn.IFS(_xlpm.b="0",0,_xlpm.b="none",0,_xlpm.b="moderate",1,_xlpm.b="strong",2),
_xlpm.d,ABS(_xlpm.x-_xlpm.y),
IF(_xlpm.d=0,"green",IF(_xlpm.d=1,"orange",IF(_xlpm.d=2,"red","check")))
)</f>
        <v>green</v>
      </c>
      <c r="EA5" s="1" t="str">
        <f t="array" ref="EA5">_xlfn.LET(
_xlpm.a,LOWER(TRIM(DU5&amp;"")),
_xlpm.b,LOWER(TRIM(DV5&amp;"")),
_xlpm.x,_xlfn.IFS(_xlpm.a="0",0,_xlpm.a="none",0,_xlpm.a="moderate",1,_xlpm.a="strong",2),
_xlpm.y,_xlfn.IFS(_xlpm.b="0",0,_xlpm.b="none",0,_xlpm.b="moderate",1,_xlpm.b="strong",2),
_xlpm.d,ABS(_xlpm.x-_xlpm.y),
IF(_xlpm.d=0,"green",IF(_xlpm.d=1,"orange",IF(_xlpm.d=2,"red","check")))
)</f>
        <v>green</v>
      </c>
      <c r="EB5" s="1" t="str">
        <f t="array" ref="EB5">_xlfn.LET(
_xlpm.a,LOWER(TRIM(DW5&amp;"")),
_xlpm.b,LOWER(TRIM(DX5&amp;"")),
_xlpm.x,_xlfn.IFS(_xlpm.a="0",0,_xlpm.a="none",0,_xlpm.a="moderate",1,_xlpm.a="strong",2),
_xlpm.y,_xlfn.IFS(_xlpm.b="0",0,_xlpm.b="none",0,_xlpm.b="moderate",1,_xlpm.b="strong",2),
_xlpm.d,ABS(_xlpm.x-_xlpm.y),
IF(_xlpm.d=0,"green",IF(_xlpm.d=1,"orange",IF(_xlpm.d=2,"red","check")))
)</f>
        <v>green</v>
      </c>
      <c r="EC5"/>
      <c r="ED5"/>
      <c r="EE5"/>
      <c r="EF5"/>
      <c r="EG5"/>
      <c r="EH5"/>
      <c r="EI5"/>
      <c r="EJ5"/>
      <c r="EK5"/>
      <c r="EL5"/>
      <c r="EM5"/>
      <c r="EN5"/>
      <c r="EO5"/>
      <c r="EP5"/>
      <c r="EQ5"/>
      <c r="ER5"/>
      <c r="ES5" s="58" t="str">
        <f t="shared" si="8"/>
        <v/>
      </c>
      <c r="ET5" s="58" t="str">
        <f t="shared" si="9"/>
        <v>No</v>
      </c>
      <c r="EU5" s="59" t="str">
        <f t="shared" ref="EU5:EU68" si="15">IF(AND(DE5&gt;=3,DD5=1),"Positive concordance",IF(AND(DE5&gt;=3,DD5&gt;=2),"Gap",IF(AND(DE5&lt;=2,DD5&gt;=2),"Negative concordance","Uninformative")))</f>
        <v>Uninformative</v>
      </c>
      <c r="EV5" s="59" t="str">
        <f t="shared" ref="EV5:EV68" si="16">IF(AND(DI5&gt;=3,DH5=1),"Positive concordance",IF(AND(DI5&gt;=3,DH5&gt;=2),"Gap",IF(AND(DI5&lt;=2,DH5&gt;=2),"Negative concordance","Uninformative")))</f>
        <v>Uninformative</v>
      </c>
      <c r="EW5" s="59" t="str">
        <f t="shared" si="10"/>
        <v>Uninformative</v>
      </c>
      <c r="EX5" s="58" t="str">
        <f t="shared" si="11"/>
        <v>Uninformative</v>
      </c>
      <c r="EY5" s="58" t="str">
        <f t="shared" si="12"/>
        <v>Uninformative</v>
      </c>
      <c r="EZ5" s="58" t="str">
        <f t="shared" si="13"/>
        <v>Uninformative</v>
      </c>
      <c r="FA5" s="58" t="str">
        <f t="shared" si="14"/>
        <v>No</v>
      </c>
      <c r="FB5" s="34"/>
      <c r="FC5" s="34"/>
      <c r="FD5" s="38"/>
      <c r="FE5" s="34"/>
      <c r="FF5" s="34"/>
      <c r="FG5" s="34"/>
      <c r="FH5" s="34"/>
    </row>
    <row r="6" spans="1:198" ht="20" customHeight="1">
      <c r="A6" s="32"/>
      <c r="B6" s="32"/>
      <c r="C6" s="32"/>
      <c r="D6" s="32"/>
      <c r="E6" s="32"/>
      <c r="F6" s="32"/>
      <c r="G6" s="32"/>
      <c r="H6" s="32"/>
      <c r="I6" s="32"/>
      <c r="J6" s="32"/>
      <c r="K6" s="32"/>
      <c r="L6" s="32"/>
      <c r="M6" s="32"/>
      <c r="N6" s="32"/>
      <c r="O6" s="32"/>
      <c r="P6" s="32"/>
      <c r="Q6" s="32"/>
      <c r="R6" s="32"/>
      <c r="S6" s="32"/>
      <c r="T6" s="32"/>
      <c r="U6" s="32"/>
      <c r="V6" s="32"/>
      <c r="W6" s="32"/>
      <c r="X6"/>
      <c r="AA6"/>
      <c r="AB6"/>
      <c r="CZ6"/>
      <c r="DA6"/>
      <c r="DB6"/>
      <c r="DC6"/>
      <c r="DD6"/>
      <c r="DE6"/>
      <c r="DF6"/>
      <c r="DG6"/>
      <c r="DH6"/>
      <c r="DI6"/>
      <c r="DJ6"/>
      <c r="DK6"/>
      <c r="DL6"/>
      <c r="DM6"/>
      <c r="DN6"/>
      <c r="DO6"/>
      <c r="DP6"/>
      <c r="DQ6" s="1">
        <f t="shared" si="0"/>
        <v>0</v>
      </c>
      <c r="DR6" s="1">
        <f t="shared" si="1"/>
        <v>0</v>
      </c>
      <c r="DS6" s="1">
        <f t="shared" si="2"/>
        <v>0</v>
      </c>
      <c r="DT6" s="1">
        <f t="shared" si="3"/>
        <v>0</v>
      </c>
      <c r="DU6" s="1">
        <f t="shared" si="4"/>
        <v>0</v>
      </c>
      <c r="DV6" s="1">
        <f t="shared" si="5"/>
        <v>0</v>
      </c>
      <c r="DW6" s="1">
        <f t="shared" si="6"/>
        <v>0</v>
      </c>
      <c r="DX6" s="1">
        <f t="shared" si="7"/>
        <v>0</v>
      </c>
      <c r="DY6" s="1" t="str">
        <f t="array" ref="DY6">_xlfn.LET(
_xlpm.a,LOWER(TRIM(DQ6&amp;"")),
_xlpm.b,LOWER(TRIM(DR6&amp;"")),
_xlpm.x,_xlfn.IFS(_xlpm.a="0",0,_xlpm.a="none",0,_xlpm.a="moderate",1,_xlpm.a="strong",2),
_xlpm.y,_xlfn.IFS(_xlpm.b="0",0,_xlpm.b="none",0,_xlpm.b="moderate",1,_xlpm.b="strong",2),
_xlpm.d,ABS(_xlpm.x-_xlpm.y),
IF(_xlpm.d=0,"green",IF(_xlpm.d=1,"orange",IF(_xlpm.d=2,"red","check")))
)</f>
        <v>green</v>
      </c>
      <c r="DZ6" s="1" t="str">
        <f t="array" ref="DZ6">_xlfn.LET(
_xlpm.a,LOWER(TRIM(DS6&amp;"")),
_xlpm.b,LOWER(TRIM(DT6&amp;"")),
_xlpm.x,_xlfn.IFS(_xlpm.a="0",0,_xlpm.a="none",0,_xlpm.a="moderate",1,_xlpm.a="strong",2),
_xlpm.y,_xlfn.IFS(_xlpm.b="0",0,_xlpm.b="none",0,_xlpm.b="moderate",1,_xlpm.b="strong",2),
_xlpm.d,ABS(_xlpm.x-_xlpm.y),
IF(_xlpm.d=0,"green",IF(_xlpm.d=1,"orange",IF(_xlpm.d=2,"red","check")))
)</f>
        <v>green</v>
      </c>
      <c r="EA6" s="1" t="str">
        <f t="array" ref="EA6">_xlfn.LET(
_xlpm.a,LOWER(TRIM(DU6&amp;"")),
_xlpm.b,LOWER(TRIM(DV6&amp;"")),
_xlpm.x,_xlfn.IFS(_xlpm.a="0",0,_xlpm.a="none",0,_xlpm.a="moderate",1,_xlpm.a="strong",2),
_xlpm.y,_xlfn.IFS(_xlpm.b="0",0,_xlpm.b="none",0,_xlpm.b="moderate",1,_xlpm.b="strong",2),
_xlpm.d,ABS(_xlpm.x-_xlpm.y),
IF(_xlpm.d=0,"green",IF(_xlpm.d=1,"orange",IF(_xlpm.d=2,"red","check")))
)</f>
        <v>green</v>
      </c>
      <c r="EB6" s="1" t="str">
        <f t="array" ref="EB6">_xlfn.LET(
_xlpm.a,LOWER(TRIM(DW6&amp;"")),
_xlpm.b,LOWER(TRIM(DX6&amp;"")),
_xlpm.x,_xlfn.IFS(_xlpm.a="0",0,_xlpm.a="none",0,_xlpm.a="moderate",1,_xlpm.a="strong",2),
_xlpm.y,_xlfn.IFS(_xlpm.b="0",0,_xlpm.b="none",0,_xlpm.b="moderate",1,_xlpm.b="strong",2),
_xlpm.d,ABS(_xlpm.x-_xlpm.y),
IF(_xlpm.d=0,"green",IF(_xlpm.d=1,"orange",IF(_xlpm.d=2,"red","check")))
)</f>
        <v>green</v>
      </c>
      <c r="EC6"/>
      <c r="ED6"/>
      <c r="EE6"/>
      <c r="EF6"/>
      <c r="EG6"/>
      <c r="EH6"/>
      <c r="EI6"/>
      <c r="EJ6"/>
      <c r="EK6"/>
      <c r="EL6"/>
      <c r="EM6"/>
      <c r="EN6"/>
      <c r="EO6"/>
      <c r="EP6"/>
      <c r="EQ6"/>
      <c r="ER6"/>
      <c r="ES6" s="58" t="str">
        <f t="shared" si="8"/>
        <v/>
      </c>
      <c r="ET6" s="58" t="str">
        <f t="shared" si="9"/>
        <v>No</v>
      </c>
      <c r="EU6" s="59" t="str">
        <f t="shared" si="15"/>
        <v>Uninformative</v>
      </c>
      <c r="EV6" s="59" t="str">
        <f t="shared" si="16"/>
        <v>Uninformative</v>
      </c>
      <c r="EW6" s="59" t="str">
        <f t="shared" si="10"/>
        <v>Uninformative</v>
      </c>
      <c r="EX6" s="58" t="str">
        <f t="shared" si="11"/>
        <v>Uninformative</v>
      </c>
      <c r="EY6" s="58" t="str">
        <f t="shared" si="12"/>
        <v>Uninformative</v>
      </c>
      <c r="EZ6" s="58" t="str">
        <f t="shared" si="13"/>
        <v>Uninformative</v>
      </c>
      <c r="FA6" s="58" t="str">
        <f t="shared" si="14"/>
        <v>No</v>
      </c>
      <c r="FB6" s="34"/>
      <c r="FC6" s="34"/>
      <c r="FD6" s="34"/>
      <c r="FE6" s="34"/>
      <c r="FF6" s="34"/>
      <c r="FG6" s="34"/>
      <c r="FH6" s="34"/>
    </row>
    <row r="7" spans="1:198" ht="20" customHeight="1">
      <c r="A7" s="32"/>
      <c r="B7" s="32"/>
      <c r="C7" s="32"/>
      <c r="D7" s="32"/>
      <c r="E7" s="32"/>
      <c r="F7" s="32"/>
      <c r="G7" s="32"/>
      <c r="H7" s="32"/>
      <c r="I7" s="32"/>
      <c r="J7" s="32"/>
      <c r="K7" s="32"/>
      <c r="L7" s="32"/>
      <c r="M7" s="32"/>
      <c r="N7" s="32"/>
      <c r="O7" s="32"/>
      <c r="P7" s="32"/>
      <c r="Q7" s="32"/>
      <c r="R7" s="32"/>
      <c r="S7" s="32"/>
      <c r="T7" s="32"/>
      <c r="U7" s="32"/>
      <c r="V7" s="32"/>
      <c r="W7" s="32"/>
      <c r="X7"/>
      <c r="Y7"/>
      <c r="Z7"/>
      <c r="AA7"/>
      <c r="AB7"/>
      <c r="AC7"/>
      <c r="AD7"/>
      <c r="AE7"/>
      <c r="AG7"/>
      <c r="AH7"/>
      <c r="AI7"/>
      <c r="AJ7"/>
      <c r="AK7"/>
      <c r="AL7"/>
      <c r="AM7"/>
      <c r="AN7"/>
      <c r="AO7"/>
      <c r="AP7"/>
      <c r="AQ7"/>
      <c r="AR7"/>
      <c r="AS7"/>
      <c r="AT7"/>
      <c r="AU7"/>
      <c r="AV7"/>
      <c r="AW7"/>
      <c r="AX7"/>
      <c r="AY7"/>
      <c r="AZ7"/>
      <c r="BA7"/>
      <c r="BB7"/>
      <c r="BC7"/>
      <c r="BD7"/>
      <c r="BE7"/>
      <c r="BF7"/>
      <c r="BG7"/>
      <c r="BH7"/>
      <c r="BI7"/>
      <c r="BJ7"/>
      <c r="BK7"/>
      <c r="BL7"/>
      <c r="BM7"/>
      <c r="BN7"/>
      <c r="BO7"/>
      <c r="BP7"/>
      <c r="BU7"/>
      <c r="BV7"/>
      <c r="BW7"/>
      <c r="BX7"/>
      <c r="BY7"/>
      <c r="BZ7"/>
      <c r="CB7"/>
      <c r="CC7"/>
      <c r="CD7"/>
      <c r="CF7"/>
      <c r="CG7"/>
      <c r="CH7"/>
      <c r="CJ7"/>
      <c r="CK7"/>
      <c r="CL7"/>
      <c r="CM7"/>
      <c r="CN7"/>
      <c r="CO7"/>
      <c r="CQ7"/>
      <c r="CR7"/>
      <c r="CS7"/>
      <c r="CT7"/>
      <c r="CU7"/>
      <c r="CV7"/>
      <c r="CW7"/>
      <c r="CX7"/>
      <c r="CY7"/>
      <c r="CZ7"/>
      <c r="DA7"/>
      <c r="DB7"/>
      <c r="DC7"/>
      <c r="DD7"/>
      <c r="DE7"/>
      <c r="DF7"/>
      <c r="DG7"/>
      <c r="DH7"/>
      <c r="DI7"/>
      <c r="DJ7"/>
      <c r="DK7"/>
      <c r="DL7"/>
      <c r="DM7"/>
      <c r="DN7"/>
      <c r="DO7"/>
      <c r="DP7"/>
      <c r="DQ7" s="1">
        <f t="shared" si="0"/>
        <v>0</v>
      </c>
      <c r="DR7" s="1">
        <f t="shared" si="1"/>
        <v>0</v>
      </c>
      <c r="DS7" s="1">
        <f t="shared" si="2"/>
        <v>0</v>
      </c>
      <c r="DT7" s="1">
        <f t="shared" si="3"/>
        <v>0</v>
      </c>
      <c r="DU7" s="1">
        <f t="shared" si="4"/>
        <v>0</v>
      </c>
      <c r="DV7" s="1">
        <f t="shared" si="5"/>
        <v>0</v>
      </c>
      <c r="DW7" s="1">
        <f t="shared" si="6"/>
        <v>0</v>
      </c>
      <c r="DX7" s="1">
        <f t="shared" si="7"/>
        <v>0</v>
      </c>
      <c r="DY7" s="1" t="str">
        <f t="array" ref="DY7">_xlfn.LET(
_xlpm.a,LOWER(TRIM(DQ7&amp;"")),
_xlpm.b,LOWER(TRIM(DR7&amp;"")),
_xlpm.x,_xlfn.IFS(_xlpm.a="0",0,_xlpm.a="none",0,_xlpm.a="moderate",1,_xlpm.a="strong",2),
_xlpm.y,_xlfn.IFS(_xlpm.b="0",0,_xlpm.b="none",0,_xlpm.b="moderate",1,_xlpm.b="strong",2),
_xlpm.d,ABS(_xlpm.x-_xlpm.y),
IF(_xlpm.d=0,"green",IF(_xlpm.d=1,"orange",IF(_xlpm.d=2,"red","check")))
)</f>
        <v>green</v>
      </c>
      <c r="DZ7" s="1" t="str">
        <f t="array" ref="DZ7">_xlfn.LET(
_xlpm.a,LOWER(TRIM(DS7&amp;"")),
_xlpm.b,LOWER(TRIM(DT7&amp;"")),
_xlpm.x,_xlfn.IFS(_xlpm.a="0",0,_xlpm.a="none",0,_xlpm.a="moderate",1,_xlpm.a="strong",2),
_xlpm.y,_xlfn.IFS(_xlpm.b="0",0,_xlpm.b="none",0,_xlpm.b="moderate",1,_xlpm.b="strong",2),
_xlpm.d,ABS(_xlpm.x-_xlpm.y),
IF(_xlpm.d=0,"green",IF(_xlpm.d=1,"orange",IF(_xlpm.d=2,"red","check")))
)</f>
        <v>green</v>
      </c>
      <c r="EA7" s="1" t="str">
        <f t="array" ref="EA7">_xlfn.LET(
_xlpm.a,LOWER(TRIM(DU7&amp;"")),
_xlpm.b,LOWER(TRIM(DV7&amp;"")),
_xlpm.x,_xlfn.IFS(_xlpm.a="0",0,_xlpm.a="none",0,_xlpm.a="moderate",1,_xlpm.a="strong",2),
_xlpm.y,_xlfn.IFS(_xlpm.b="0",0,_xlpm.b="none",0,_xlpm.b="moderate",1,_xlpm.b="strong",2),
_xlpm.d,ABS(_xlpm.x-_xlpm.y),
IF(_xlpm.d=0,"green",IF(_xlpm.d=1,"orange",IF(_xlpm.d=2,"red","check")))
)</f>
        <v>green</v>
      </c>
      <c r="EB7" s="1" t="str">
        <f t="array" ref="EB7">_xlfn.LET(
_xlpm.a,LOWER(TRIM(DW7&amp;"")),
_xlpm.b,LOWER(TRIM(DX7&amp;"")),
_xlpm.x,_xlfn.IFS(_xlpm.a="0",0,_xlpm.a="none",0,_xlpm.a="moderate",1,_xlpm.a="strong",2),
_xlpm.y,_xlfn.IFS(_xlpm.b="0",0,_xlpm.b="none",0,_xlpm.b="moderate",1,_xlpm.b="strong",2),
_xlpm.d,ABS(_xlpm.x-_xlpm.y),
IF(_xlpm.d=0,"green",IF(_xlpm.d=1,"orange",IF(_xlpm.d=2,"red","check")))
)</f>
        <v>green</v>
      </c>
      <c r="EC7"/>
      <c r="ED7"/>
      <c r="EE7"/>
      <c r="EF7"/>
      <c r="EG7"/>
      <c r="EH7"/>
      <c r="EI7"/>
      <c r="EJ7"/>
      <c r="EK7"/>
      <c r="EL7"/>
      <c r="EM7"/>
      <c r="EN7"/>
      <c r="EO7"/>
      <c r="EP7"/>
      <c r="EQ7"/>
      <c r="ER7"/>
      <c r="ES7" s="58" t="str">
        <f t="shared" si="8"/>
        <v/>
      </c>
      <c r="ET7" s="58" t="str">
        <f t="shared" si="9"/>
        <v>No</v>
      </c>
      <c r="EU7" s="59" t="str">
        <f t="shared" si="15"/>
        <v>Uninformative</v>
      </c>
      <c r="EV7" s="59" t="str">
        <f t="shared" si="16"/>
        <v>Uninformative</v>
      </c>
      <c r="EW7" s="59" t="str">
        <f t="shared" si="10"/>
        <v>Uninformative</v>
      </c>
      <c r="EX7" s="58" t="str">
        <f t="shared" si="11"/>
        <v>Uninformative</v>
      </c>
      <c r="EY7" s="58" t="str">
        <f t="shared" si="12"/>
        <v>Uninformative</v>
      </c>
      <c r="EZ7" s="58" t="str">
        <f t="shared" si="13"/>
        <v>Uninformative</v>
      </c>
      <c r="FA7" s="58" t="str">
        <f t="shared" si="14"/>
        <v>No</v>
      </c>
      <c r="FB7" s="34"/>
      <c r="FC7" s="34"/>
      <c r="FD7" s="34"/>
      <c r="FE7" s="34"/>
      <c r="FF7" s="34"/>
      <c r="FG7" s="34"/>
      <c r="FH7" s="34"/>
    </row>
    <row r="8" spans="1:198" ht="20" customHeight="1">
      <c r="A8" s="32"/>
      <c r="B8" s="32"/>
      <c r="C8" s="32"/>
      <c r="D8" s="32"/>
      <c r="E8" s="32"/>
      <c r="F8" s="32"/>
      <c r="G8" s="32"/>
      <c r="H8" s="32"/>
      <c r="I8" s="32"/>
      <c r="J8" s="32"/>
      <c r="K8" s="32"/>
      <c r="L8" s="32"/>
      <c r="M8" s="32"/>
      <c r="N8" s="32"/>
      <c r="O8" s="32"/>
      <c r="P8" s="32"/>
      <c r="Q8" s="32"/>
      <c r="R8" s="32"/>
      <c r="S8" s="32"/>
      <c r="T8" s="32"/>
      <c r="U8" s="32"/>
      <c r="V8" s="32"/>
      <c r="W8" s="32"/>
      <c r="X8"/>
      <c r="Y8"/>
      <c r="Z8"/>
      <c r="AA8"/>
      <c r="AB8"/>
      <c r="AC8"/>
      <c r="AD8"/>
      <c r="AE8"/>
      <c r="AG8"/>
      <c r="AH8"/>
      <c r="AI8"/>
      <c r="AJ8"/>
      <c r="AK8"/>
      <c r="AL8"/>
      <c r="AM8"/>
      <c r="AN8"/>
      <c r="AO8"/>
      <c r="AP8"/>
      <c r="AQ8"/>
      <c r="AR8"/>
      <c r="AS8"/>
      <c r="AT8"/>
      <c r="AU8"/>
      <c r="AV8"/>
      <c r="AW8"/>
      <c r="AX8"/>
      <c r="AY8"/>
      <c r="AZ8"/>
      <c r="BA8"/>
      <c r="BB8"/>
      <c r="BC8"/>
      <c r="BD8"/>
      <c r="BE8"/>
      <c r="BF8"/>
      <c r="BG8"/>
      <c r="BH8"/>
      <c r="BI8"/>
      <c r="BJ8"/>
      <c r="BK8"/>
      <c r="BL8"/>
      <c r="BQ8"/>
      <c r="BR8"/>
      <c r="BS8"/>
      <c r="BT8"/>
      <c r="BU8"/>
      <c r="BV8"/>
      <c r="BW8"/>
      <c r="BX8"/>
      <c r="BY8"/>
      <c r="BZ8"/>
      <c r="CB8"/>
      <c r="CC8"/>
      <c r="CD8"/>
      <c r="CF8"/>
      <c r="CG8"/>
      <c r="CH8"/>
      <c r="CJ8"/>
      <c r="CK8"/>
      <c r="CL8"/>
      <c r="CM8"/>
      <c r="CN8"/>
      <c r="CP8"/>
      <c r="CQ8"/>
      <c r="CR8"/>
      <c r="CS8"/>
      <c r="CT8"/>
      <c r="CU8"/>
      <c r="CV8"/>
      <c r="CW8"/>
      <c r="CX8"/>
      <c r="CY8"/>
      <c r="CZ8"/>
      <c r="DA8"/>
      <c r="DB8"/>
      <c r="DC8"/>
      <c r="DD8"/>
      <c r="DE8"/>
      <c r="DF8"/>
      <c r="DG8"/>
      <c r="DH8"/>
      <c r="DI8"/>
      <c r="DJ8"/>
      <c r="DK8"/>
      <c r="DL8"/>
      <c r="DM8"/>
      <c r="DN8"/>
      <c r="DO8"/>
      <c r="DP8"/>
      <c r="DQ8" s="1">
        <f t="shared" si="0"/>
        <v>0</v>
      </c>
      <c r="DR8" s="1">
        <f t="shared" si="1"/>
        <v>0</v>
      </c>
      <c r="DS8" s="1">
        <f t="shared" si="2"/>
        <v>0</v>
      </c>
      <c r="DT8" s="1">
        <f t="shared" si="3"/>
        <v>0</v>
      </c>
      <c r="DU8" s="1">
        <f t="shared" si="4"/>
        <v>0</v>
      </c>
      <c r="DV8" s="1">
        <f t="shared" si="5"/>
        <v>0</v>
      </c>
      <c r="DW8" s="1">
        <f t="shared" si="6"/>
        <v>0</v>
      </c>
      <c r="DX8" s="1">
        <f t="shared" si="7"/>
        <v>0</v>
      </c>
      <c r="DY8" s="1" t="str">
        <f t="array" ref="DY8">_xlfn.LET(
_xlpm.a,LOWER(TRIM(DQ8&amp;"")),
_xlpm.b,LOWER(TRIM(DR8&amp;"")),
_xlpm.x,_xlfn.IFS(_xlpm.a="0",0,_xlpm.a="none",0,_xlpm.a="moderate",1,_xlpm.a="strong",2),
_xlpm.y,_xlfn.IFS(_xlpm.b="0",0,_xlpm.b="none",0,_xlpm.b="moderate",1,_xlpm.b="strong",2),
_xlpm.d,ABS(_xlpm.x-_xlpm.y),
IF(_xlpm.d=0,"green",IF(_xlpm.d=1,"orange",IF(_xlpm.d=2,"red","check")))
)</f>
        <v>green</v>
      </c>
      <c r="DZ8" s="1" t="str">
        <f t="array" ref="DZ8">_xlfn.LET(
_xlpm.a,LOWER(TRIM(DS8&amp;"")),
_xlpm.b,LOWER(TRIM(DT8&amp;"")),
_xlpm.x,_xlfn.IFS(_xlpm.a="0",0,_xlpm.a="none",0,_xlpm.a="moderate",1,_xlpm.a="strong",2),
_xlpm.y,_xlfn.IFS(_xlpm.b="0",0,_xlpm.b="none",0,_xlpm.b="moderate",1,_xlpm.b="strong",2),
_xlpm.d,ABS(_xlpm.x-_xlpm.y),
IF(_xlpm.d=0,"green",IF(_xlpm.d=1,"orange",IF(_xlpm.d=2,"red","check")))
)</f>
        <v>green</v>
      </c>
      <c r="EA8" s="1" t="str">
        <f t="array" ref="EA8">_xlfn.LET(
_xlpm.a,LOWER(TRIM(DU8&amp;"")),
_xlpm.b,LOWER(TRIM(DV8&amp;"")),
_xlpm.x,_xlfn.IFS(_xlpm.a="0",0,_xlpm.a="none",0,_xlpm.a="moderate",1,_xlpm.a="strong",2),
_xlpm.y,_xlfn.IFS(_xlpm.b="0",0,_xlpm.b="none",0,_xlpm.b="moderate",1,_xlpm.b="strong",2),
_xlpm.d,ABS(_xlpm.x-_xlpm.y),
IF(_xlpm.d=0,"green",IF(_xlpm.d=1,"orange",IF(_xlpm.d=2,"red","check")))
)</f>
        <v>green</v>
      </c>
      <c r="EB8" s="1" t="str">
        <f t="array" ref="EB8">_xlfn.LET(
_xlpm.a,LOWER(TRIM(DW8&amp;"")),
_xlpm.b,LOWER(TRIM(DX8&amp;"")),
_xlpm.x,_xlfn.IFS(_xlpm.a="0",0,_xlpm.a="none",0,_xlpm.a="moderate",1,_xlpm.a="strong",2),
_xlpm.y,_xlfn.IFS(_xlpm.b="0",0,_xlpm.b="none",0,_xlpm.b="moderate",1,_xlpm.b="strong",2),
_xlpm.d,ABS(_xlpm.x-_xlpm.y),
IF(_xlpm.d=0,"green",IF(_xlpm.d=1,"orange",IF(_xlpm.d=2,"red","check")))
)</f>
        <v>green</v>
      </c>
      <c r="EC8"/>
      <c r="ED8"/>
      <c r="EE8"/>
      <c r="EF8"/>
      <c r="EG8"/>
      <c r="EH8"/>
      <c r="EI8"/>
      <c r="EJ8"/>
      <c r="EK8"/>
      <c r="EL8"/>
      <c r="EM8"/>
      <c r="EN8"/>
      <c r="EO8"/>
      <c r="EP8"/>
      <c r="EQ8"/>
      <c r="ER8"/>
      <c r="ES8" s="58" t="str">
        <f t="shared" si="8"/>
        <v/>
      </c>
      <c r="ET8" s="58" t="str">
        <f t="shared" si="9"/>
        <v>No</v>
      </c>
      <c r="EU8" s="59" t="str">
        <f t="shared" si="15"/>
        <v>Uninformative</v>
      </c>
      <c r="EV8" s="59" t="str">
        <f t="shared" si="16"/>
        <v>Uninformative</v>
      </c>
      <c r="EW8" s="59" t="str">
        <f t="shared" si="10"/>
        <v>Uninformative</v>
      </c>
      <c r="EX8" s="58" t="str">
        <f t="shared" si="11"/>
        <v>Uninformative</v>
      </c>
      <c r="EY8" s="58" t="str">
        <f t="shared" si="12"/>
        <v>Uninformative</v>
      </c>
      <c r="EZ8" s="58" t="str">
        <f t="shared" si="13"/>
        <v>Uninformative</v>
      </c>
      <c r="FA8" s="58" t="str">
        <f t="shared" si="14"/>
        <v>No</v>
      </c>
      <c r="FB8" s="34"/>
      <c r="FC8" s="34"/>
      <c r="FD8" s="34"/>
      <c r="FE8" s="34"/>
      <c r="FF8" s="34"/>
      <c r="FG8" s="34"/>
      <c r="FH8" s="34"/>
    </row>
    <row r="9" spans="1:198" ht="20" customHeight="1">
      <c r="A9" s="32"/>
      <c r="B9" s="32"/>
      <c r="C9" s="32"/>
      <c r="D9" s="32"/>
      <c r="E9" s="32"/>
      <c r="F9" s="32"/>
      <c r="G9" s="32"/>
      <c r="H9" s="32"/>
      <c r="I9" s="32"/>
      <c r="J9" s="32"/>
      <c r="K9" s="32"/>
      <c r="L9" s="32"/>
      <c r="M9" s="32"/>
      <c r="N9" s="32"/>
      <c r="O9" s="32"/>
      <c r="P9" s="32"/>
      <c r="Q9" s="32"/>
      <c r="R9" s="32"/>
      <c r="S9" s="32"/>
      <c r="T9" s="32"/>
      <c r="U9" s="32"/>
      <c r="V9" s="32"/>
      <c r="W9" s="32"/>
      <c r="X9"/>
      <c r="Y9"/>
      <c r="Z9"/>
      <c r="AA9"/>
      <c r="AB9"/>
      <c r="AG9"/>
      <c r="AH9"/>
      <c r="AI9"/>
      <c r="AJ9"/>
      <c r="AK9"/>
      <c r="AL9"/>
      <c r="AM9"/>
      <c r="AN9"/>
      <c r="AO9"/>
      <c r="AP9"/>
      <c r="AQ9"/>
      <c r="AR9"/>
      <c r="AS9"/>
      <c r="AT9"/>
      <c r="AU9"/>
      <c r="AV9"/>
      <c r="AW9"/>
      <c r="AX9"/>
      <c r="AY9"/>
      <c r="AZ9"/>
      <c r="BE9"/>
      <c r="BF9"/>
      <c r="BG9"/>
      <c r="BH9"/>
      <c r="BU9"/>
      <c r="BV9"/>
      <c r="BW9"/>
      <c r="BX9"/>
      <c r="BY9"/>
      <c r="BZ9"/>
      <c r="CB9"/>
      <c r="CC9"/>
      <c r="CD9"/>
      <c r="CF9"/>
      <c r="CG9"/>
      <c r="CH9"/>
      <c r="CJ9"/>
      <c r="CK9"/>
      <c r="CM9"/>
      <c r="CQ9"/>
      <c r="CR9"/>
      <c r="CS9"/>
      <c r="CT9"/>
      <c r="CU9"/>
      <c r="CV9"/>
      <c r="CW9"/>
      <c r="CX9"/>
      <c r="CY9"/>
      <c r="CZ9"/>
      <c r="DA9"/>
      <c r="DB9"/>
      <c r="DC9"/>
      <c r="DD9"/>
      <c r="DE9"/>
      <c r="DF9"/>
      <c r="DG9"/>
      <c r="DH9"/>
      <c r="DI9"/>
      <c r="DJ9"/>
      <c r="DK9"/>
      <c r="DL9"/>
      <c r="DM9"/>
      <c r="DN9"/>
      <c r="DO9"/>
      <c r="DP9"/>
      <c r="DQ9" s="1">
        <f t="shared" si="0"/>
        <v>0</v>
      </c>
      <c r="DR9" s="1">
        <f t="shared" si="1"/>
        <v>0</v>
      </c>
      <c r="DS9" s="1">
        <f t="shared" si="2"/>
        <v>0</v>
      </c>
      <c r="DT9" s="1">
        <f t="shared" si="3"/>
        <v>0</v>
      </c>
      <c r="DU9" s="1">
        <f t="shared" si="4"/>
        <v>0</v>
      </c>
      <c r="DV9" s="1">
        <f t="shared" si="5"/>
        <v>0</v>
      </c>
      <c r="DW9" s="1">
        <f t="shared" si="6"/>
        <v>0</v>
      </c>
      <c r="DX9" s="1">
        <f t="shared" si="7"/>
        <v>0</v>
      </c>
      <c r="DY9" s="1" t="str">
        <f t="array" ref="DY9">_xlfn.LET(
_xlpm.a,LOWER(TRIM(DQ9&amp;"")),
_xlpm.b,LOWER(TRIM(DR9&amp;"")),
_xlpm.x,_xlfn.IFS(_xlpm.a="0",0,_xlpm.a="none",0,_xlpm.a="moderate",1,_xlpm.a="strong",2),
_xlpm.y,_xlfn.IFS(_xlpm.b="0",0,_xlpm.b="none",0,_xlpm.b="moderate",1,_xlpm.b="strong",2),
_xlpm.d,ABS(_xlpm.x-_xlpm.y),
IF(_xlpm.d=0,"green",IF(_xlpm.d=1,"orange",IF(_xlpm.d=2,"red","check")))
)</f>
        <v>green</v>
      </c>
      <c r="DZ9" s="1" t="str">
        <f t="array" ref="DZ9">_xlfn.LET(
_xlpm.a,LOWER(TRIM(DS9&amp;"")),
_xlpm.b,LOWER(TRIM(DT9&amp;"")),
_xlpm.x,_xlfn.IFS(_xlpm.a="0",0,_xlpm.a="none",0,_xlpm.a="moderate",1,_xlpm.a="strong",2),
_xlpm.y,_xlfn.IFS(_xlpm.b="0",0,_xlpm.b="none",0,_xlpm.b="moderate",1,_xlpm.b="strong",2),
_xlpm.d,ABS(_xlpm.x-_xlpm.y),
IF(_xlpm.d=0,"green",IF(_xlpm.d=1,"orange",IF(_xlpm.d=2,"red","check")))
)</f>
        <v>green</v>
      </c>
      <c r="EA9" s="1" t="str">
        <f t="array" ref="EA9">_xlfn.LET(
_xlpm.a,LOWER(TRIM(DU9&amp;"")),
_xlpm.b,LOWER(TRIM(DV9&amp;"")),
_xlpm.x,_xlfn.IFS(_xlpm.a="0",0,_xlpm.a="none",0,_xlpm.a="moderate",1,_xlpm.a="strong",2),
_xlpm.y,_xlfn.IFS(_xlpm.b="0",0,_xlpm.b="none",0,_xlpm.b="moderate",1,_xlpm.b="strong",2),
_xlpm.d,ABS(_xlpm.x-_xlpm.y),
IF(_xlpm.d=0,"green",IF(_xlpm.d=1,"orange",IF(_xlpm.d=2,"red","check")))
)</f>
        <v>green</v>
      </c>
      <c r="EB9" s="1" t="str">
        <f t="array" ref="EB9">_xlfn.LET(
_xlpm.a,LOWER(TRIM(DW9&amp;"")),
_xlpm.b,LOWER(TRIM(DX9&amp;"")),
_xlpm.x,_xlfn.IFS(_xlpm.a="0",0,_xlpm.a="none",0,_xlpm.a="moderate",1,_xlpm.a="strong",2),
_xlpm.y,_xlfn.IFS(_xlpm.b="0",0,_xlpm.b="none",0,_xlpm.b="moderate",1,_xlpm.b="strong",2),
_xlpm.d,ABS(_xlpm.x-_xlpm.y),
IF(_xlpm.d=0,"green",IF(_xlpm.d=1,"orange",IF(_xlpm.d=2,"red","check")))
)</f>
        <v>green</v>
      </c>
      <c r="EC9"/>
      <c r="ED9"/>
      <c r="EE9"/>
      <c r="EF9"/>
      <c r="EG9"/>
      <c r="EH9"/>
      <c r="EI9"/>
      <c r="EJ9"/>
      <c r="EK9"/>
      <c r="EL9"/>
      <c r="EM9"/>
      <c r="EN9"/>
      <c r="EO9"/>
      <c r="EP9"/>
      <c r="EQ9"/>
      <c r="ER9"/>
      <c r="ES9" s="58" t="str">
        <f t="shared" si="8"/>
        <v/>
      </c>
      <c r="ET9" s="58" t="str">
        <f t="shared" si="9"/>
        <v>No</v>
      </c>
      <c r="EU9" s="59" t="str">
        <f t="shared" si="15"/>
        <v>Uninformative</v>
      </c>
      <c r="EV9" s="59" t="str">
        <f t="shared" si="16"/>
        <v>Uninformative</v>
      </c>
      <c r="EW9" s="59" t="str">
        <f t="shared" si="10"/>
        <v>Uninformative</v>
      </c>
      <c r="EX9" s="58" t="str">
        <f t="shared" si="11"/>
        <v>Uninformative</v>
      </c>
      <c r="EY9" s="58" t="str">
        <f t="shared" si="12"/>
        <v>Uninformative</v>
      </c>
      <c r="EZ9" s="58" t="str">
        <f t="shared" si="13"/>
        <v>Uninformative</v>
      </c>
      <c r="FA9" s="58" t="str">
        <f t="shared" si="14"/>
        <v>No</v>
      </c>
      <c r="FB9" s="34"/>
      <c r="FC9" s="34"/>
      <c r="FD9" s="34"/>
      <c r="FE9" s="34"/>
      <c r="FF9" s="34"/>
      <c r="FG9" s="34"/>
      <c r="FH9" s="34"/>
    </row>
    <row r="10" spans="1:198" ht="20" customHeight="1">
      <c r="A10" s="32"/>
      <c r="B10" s="32"/>
      <c r="C10" s="32"/>
      <c r="D10" s="32"/>
      <c r="E10" s="32"/>
      <c r="F10" s="32"/>
      <c r="G10" s="32"/>
      <c r="H10" s="32"/>
      <c r="I10" s="32"/>
      <c r="J10" s="32"/>
      <c r="K10" s="32"/>
      <c r="L10" s="32"/>
      <c r="M10" s="32"/>
      <c r="N10" s="32"/>
      <c r="O10" s="32"/>
      <c r="P10" s="32"/>
      <c r="Q10" s="32"/>
      <c r="R10" s="32"/>
      <c r="S10" s="32"/>
      <c r="T10" s="32"/>
      <c r="U10" s="32"/>
      <c r="V10" s="32"/>
      <c r="W10" s="32"/>
      <c r="X10"/>
      <c r="Y10"/>
      <c r="Z10"/>
      <c r="AA10"/>
      <c r="AB10"/>
      <c r="AC10"/>
      <c r="AD10"/>
      <c r="AE10"/>
      <c r="AG10"/>
      <c r="AH10"/>
      <c r="AI10"/>
      <c r="AJ10"/>
      <c r="AK10"/>
      <c r="AL10"/>
      <c r="AM10"/>
      <c r="AN10"/>
      <c r="AO10"/>
      <c r="AP10"/>
      <c r="AQ10"/>
      <c r="AR10"/>
      <c r="AS10"/>
      <c r="AT10"/>
      <c r="AU10"/>
      <c r="AV10"/>
      <c r="AW10"/>
      <c r="AX10"/>
      <c r="AY10"/>
      <c r="AZ10"/>
      <c r="BA10"/>
      <c r="BB10"/>
      <c r="BC10"/>
      <c r="BD10"/>
      <c r="BE10"/>
      <c r="BF10"/>
      <c r="BG10"/>
      <c r="BH10"/>
      <c r="BI10"/>
      <c r="BJ10"/>
      <c r="BK10"/>
      <c r="BL10"/>
      <c r="BQ10"/>
      <c r="BR10"/>
      <c r="BS10"/>
      <c r="BT10"/>
      <c r="BU10"/>
      <c r="BV10"/>
      <c r="BW10"/>
      <c r="BX10"/>
      <c r="BY10"/>
      <c r="BZ10"/>
      <c r="CB10"/>
      <c r="CC10"/>
      <c r="CD10"/>
      <c r="CF10"/>
      <c r="CG10"/>
      <c r="CH10"/>
      <c r="CJ10"/>
      <c r="CK10"/>
      <c r="CL10"/>
      <c r="CM10"/>
      <c r="CN10"/>
      <c r="CP10"/>
      <c r="CQ10"/>
      <c r="CR10"/>
      <c r="CS10"/>
      <c r="CT10"/>
      <c r="CU10"/>
      <c r="CV10"/>
      <c r="CW10"/>
      <c r="CX10"/>
      <c r="CY10"/>
      <c r="CZ10"/>
      <c r="DA10"/>
      <c r="DB10"/>
      <c r="DC10"/>
      <c r="DD10"/>
      <c r="DE10"/>
      <c r="DF10"/>
      <c r="DG10"/>
      <c r="DH10"/>
      <c r="DI10"/>
      <c r="DJ10"/>
      <c r="DK10"/>
      <c r="DL10"/>
      <c r="DM10"/>
      <c r="DN10"/>
      <c r="DO10"/>
      <c r="DP10"/>
      <c r="DQ10" s="1">
        <f t="shared" si="0"/>
        <v>0</v>
      </c>
      <c r="DR10" s="1">
        <f t="shared" si="1"/>
        <v>0</v>
      </c>
      <c r="DS10" s="1">
        <f t="shared" si="2"/>
        <v>0</v>
      </c>
      <c r="DT10" s="1">
        <f t="shared" si="3"/>
        <v>0</v>
      </c>
      <c r="DU10" s="1">
        <f t="shared" si="4"/>
        <v>0</v>
      </c>
      <c r="DV10" s="1">
        <f t="shared" si="5"/>
        <v>0</v>
      </c>
      <c r="DW10" s="1">
        <f t="shared" si="6"/>
        <v>0</v>
      </c>
      <c r="DX10" s="1">
        <f t="shared" si="7"/>
        <v>0</v>
      </c>
      <c r="DY10" s="1" t="str">
        <f t="array" ref="DY10">_xlfn.LET(
_xlpm.a,LOWER(TRIM(DQ10&amp;"")),
_xlpm.b,LOWER(TRIM(DR10&amp;"")),
_xlpm.x,_xlfn.IFS(_xlpm.a="0",0,_xlpm.a="none",0,_xlpm.a="moderate",1,_xlpm.a="strong",2),
_xlpm.y,_xlfn.IFS(_xlpm.b="0",0,_xlpm.b="none",0,_xlpm.b="moderate",1,_xlpm.b="strong",2),
_xlpm.d,ABS(_xlpm.x-_xlpm.y),
IF(_xlpm.d=0,"green",IF(_xlpm.d=1,"orange",IF(_xlpm.d=2,"red","check")))
)</f>
        <v>green</v>
      </c>
      <c r="DZ10" s="1" t="str">
        <f t="array" ref="DZ10">_xlfn.LET(
_xlpm.a,LOWER(TRIM(DS10&amp;"")),
_xlpm.b,LOWER(TRIM(DT10&amp;"")),
_xlpm.x,_xlfn.IFS(_xlpm.a="0",0,_xlpm.a="none",0,_xlpm.a="moderate",1,_xlpm.a="strong",2),
_xlpm.y,_xlfn.IFS(_xlpm.b="0",0,_xlpm.b="none",0,_xlpm.b="moderate",1,_xlpm.b="strong",2),
_xlpm.d,ABS(_xlpm.x-_xlpm.y),
IF(_xlpm.d=0,"green",IF(_xlpm.d=1,"orange",IF(_xlpm.d=2,"red","check")))
)</f>
        <v>green</v>
      </c>
      <c r="EA10" s="1" t="str">
        <f t="array" ref="EA10">_xlfn.LET(
_xlpm.a,LOWER(TRIM(DU10&amp;"")),
_xlpm.b,LOWER(TRIM(DV10&amp;"")),
_xlpm.x,_xlfn.IFS(_xlpm.a="0",0,_xlpm.a="none",0,_xlpm.a="moderate",1,_xlpm.a="strong",2),
_xlpm.y,_xlfn.IFS(_xlpm.b="0",0,_xlpm.b="none",0,_xlpm.b="moderate",1,_xlpm.b="strong",2),
_xlpm.d,ABS(_xlpm.x-_xlpm.y),
IF(_xlpm.d=0,"green",IF(_xlpm.d=1,"orange",IF(_xlpm.d=2,"red","check")))
)</f>
        <v>green</v>
      </c>
      <c r="EB10" s="1" t="str">
        <f t="array" ref="EB10">_xlfn.LET(
_xlpm.a,LOWER(TRIM(DW10&amp;"")),
_xlpm.b,LOWER(TRIM(DX10&amp;"")),
_xlpm.x,_xlfn.IFS(_xlpm.a="0",0,_xlpm.a="none",0,_xlpm.a="moderate",1,_xlpm.a="strong",2),
_xlpm.y,_xlfn.IFS(_xlpm.b="0",0,_xlpm.b="none",0,_xlpm.b="moderate",1,_xlpm.b="strong",2),
_xlpm.d,ABS(_xlpm.x-_xlpm.y),
IF(_xlpm.d=0,"green",IF(_xlpm.d=1,"orange",IF(_xlpm.d=2,"red","check")))
)</f>
        <v>green</v>
      </c>
      <c r="EC10"/>
      <c r="ED10"/>
      <c r="EE10"/>
      <c r="EF10"/>
      <c r="EG10"/>
      <c r="EH10"/>
      <c r="EI10"/>
      <c r="EJ10"/>
      <c r="EK10"/>
      <c r="EL10"/>
      <c r="EM10"/>
      <c r="EN10"/>
      <c r="EO10"/>
      <c r="EP10"/>
      <c r="EQ10"/>
      <c r="ER10"/>
      <c r="ES10" s="58" t="str">
        <f t="shared" si="8"/>
        <v/>
      </c>
      <c r="ET10" s="58" t="str">
        <f t="shared" si="9"/>
        <v>No</v>
      </c>
      <c r="EU10" s="59" t="str">
        <f t="shared" si="15"/>
        <v>Uninformative</v>
      </c>
      <c r="EV10" s="59" t="str">
        <f t="shared" si="16"/>
        <v>Uninformative</v>
      </c>
      <c r="EW10" s="59" t="str">
        <f t="shared" si="10"/>
        <v>Uninformative</v>
      </c>
      <c r="EX10" s="58" t="str">
        <f t="shared" si="11"/>
        <v>Uninformative</v>
      </c>
      <c r="EY10" s="58" t="str">
        <f t="shared" si="12"/>
        <v>Uninformative</v>
      </c>
      <c r="EZ10" s="58" t="str">
        <f t="shared" si="13"/>
        <v>Uninformative</v>
      </c>
      <c r="FA10" s="58" t="str">
        <f t="shared" si="14"/>
        <v>No</v>
      </c>
      <c r="FB10" s="34"/>
      <c r="FC10" s="34"/>
      <c r="FD10" s="34"/>
      <c r="FE10" s="34"/>
      <c r="FF10" s="34"/>
      <c r="FG10" s="34"/>
      <c r="FH10" s="34"/>
    </row>
    <row r="11" spans="1:198" ht="20" customHeight="1">
      <c r="A11" s="32"/>
      <c r="B11" s="32"/>
      <c r="C11" s="32"/>
      <c r="D11" s="32"/>
      <c r="E11" s="32"/>
      <c r="F11" s="32"/>
      <c r="G11" s="32"/>
      <c r="H11" s="32"/>
      <c r="I11" s="32"/>
      <c r="J11" s="32"/>
      <c r="K11" s="32"/>
      <c r="L11" s="32"/>
      <c r="M11" s="32"/>
      <c r="N11" s="32"/>
      <c r="O11" s="32"/>
      <c r="P11" s="32"/>
      <c r="Q11" s="32"/>
      <c r="R11" s="32"/>
      <c r="S11" s="32"/>
      <c r="T11" s="32"/>
      <c r="U11" s="32"/>
      <c r="V11" s="32"/>
      <c r="W11" s="32"/>
      <c r="X11"/>
      <c r="Y11"/>
      <c r="Z11"/>
      <c r="AA11"/>
      <c r="AB11"/>
      <c r="AC11"/>
      <c r="AD11"/>
      <c r="AG11"/>
      <c r="AH11"/>
      <c r="AI11"/>
      <c r="AJ11"/>
      <c r="AK11"/>
      <c r="AL11"/>
      <c r="AM11"/>
      <c r="AN11"/>
      <c r="AO11"/>
      <c r="AP11"/>
      <c r="AQ11"/>
      <c r="AR11"/>
      <c r="AS11"/>
      <c r="AT11"/>
      <c r="AU11"/>
      <c r="AV11"/>
      <c r="AW11"/>
      <c r="AX11"/>
      <c r="AY11"/>
      <c r="AZ11"/>
      <c r="BA11"/>
      <c r="BB11"/>
      <c r="BC11"/>
      <c r="BD11"/>
      <c r="BE11"/>
      <c r="BF11"/>
      <c r="BG11"/>
      <c r="BH11"/>
      <c r="BI11"/>
      <c r="BJ11"/>
      <c r="BK11"/>
      <c r="BL11"/>
      <c r="BQ11"/>
      <c r="BR11"/>
      <c r="BS11"/>
      <c r="BT11"/>
      <c r="BU11"/>
      <c r="BV11"/>
      <c r="BW11"/>
      <c r="BX11"/>
      <c r="BY11"/>
      <c r="BZ11"/>
      <c r="CB11"/>
      <c r="CC11"/>
      <c r="CD11"/>
      <c r="CF11"/>
      <c r="CG11"/>
      <c r="CH11"/>
      <c r="CJ11"/>
      <c r="CK11"/>
      <c r="CL11"/>
      <c r="CM11"/>
      <c r="CN11"/>
      <c r="CP11"/>
      <c r="CQ11"/>
      <c r="CR11"/>
      <c r="CS11"/>
      <c r="CT11"/>
      <c r="CU11"/>
      <c r="CV11"/>
      <c r="CW11" s="16"/>
      <c r="CX11"/>
      <c r="CY11"/>
      <c r="CZ11"/>
      <c r="DA11"/>
      <c r="DB11"/>
      <c r="DC11"/>
      <c r="DD11"/>
      <c r="DE11"/>
      <c r="DF11"/>
      <c r="DG11"/>
      <c r="DH11"/>
      <c r="DI11"/>
      <c r="DJ11"/>
      <c r="DK11"/>
      <c r="DL11"/>
      <c r="DM11"/>
      <c r="DN11"/>
      <c r="DO11"/>
      <c r="DP11"/>
      <c r="DQ11" s="1">
        <f t="shared" si="0"/>
        <v>0</v>
      </c>
      <c r="DR11" s="1">
        <f t="shared" si="1"/>
        <v>0</v>
      </c>
      <c r="DS11" s="1">
        <f t="shared" si="2"/>
        <v>0</v>
      </c>
      <c r="DT11" s="1">
        <f t="shared" si="3"/>
        <v>0</v>
      </c>
      <c r="DU11" s="1">
        <f t="shared" si="4"/>
        <v>0</v>
      </c>
      <c r="DV11" s="1">
        <f t="shared" si="5"/>
        <v>0</v>
      </c>
      <c r="DW11" s="1">
        <f t="shared" si="6"/>
        <v>0</v>
      </c>
      <c r="DX11" s="1">
        <f t="shared" si="7"/>
        <v>0</v>
      </c>
      <c r="DY11" s="1" t="str">
        <f t="array" ref="DY11">_xlfn.LET(
_xlpm.a,LOWER(TRIM(DQ11&amp;"")),
_xlpm.b,LOWER(TRIM(DR11&amp;"")),
_xlpm.x,_xlfn.IFS(_xlpm.a="0",0,_xlpm.a="none",0,_xlpm.a="moderate",1,_xlpm.a="strong",2),
_xlpm.y,_xlfn.IFS(_xlpm.b="0",0,_xlpm.b="none",0,_xlpm.b="moderate",1,_xlpm.b="strong",2),
_xlpm.d,ABS(_xlpm.x-_xlpm.y),
IF(_xlpm.d=0,"green",IF(_xlpm.d=1,"orange",IF(_xlpm.d=2,"red","check")))
)</f>
        <v>green</v>
      </c>
      <c r="DZ11" s="1" t="str">
        <f t="array" ref="DZ11">_xlfn.LET(
_xlpm.a,LOWER(TRIM(DS11&amp;"")),
_xlpm.b,LOWER(TRIM(DT11&amp;"")),
_xlpm.x,_xlfn.IFS(_xlpm.a="0",0,_xlpm.a="none",0,_xlpm.a="moderate",1,_xlpm.a="strong",2),
_xlpm.y,_xlfn.IFS(_xlpm.b="0",0,_xlpm.b="none",0,_xlpm.b="moderate",1,_xlpm.b="strong",2),
_xlpm.d,ABS(_xlpm.x-_xlpm.y),
IF(_xlpm.d=0,"green",IF(_xlpm.d=1,"orange",IF(_xlpm.d=2,"red","check")))
)</f>
        <v>green</v>
      </c>
      <c r="EA11" s="1" t="str">
        <f t="array" ref="EA11">_xlfn.LET(
_xlpm.a,LOWER(TRIM(DU11&amp;"")),
_xlpm.b,LOWER(TRIM(DV11&amp;"")),
_xlpm.x,_xlfn.IFS(_xlpm.a="0",0,_xlpm.a="none",0,_xlpm.a="moderate",1,_xlpm.a="strong",2),
_xlpm.y,_xlfn.IFS(_xlpm.b="0",0,_xlpm.b="none",0,_xlpm.b="moderate",1,_xlpm.b="strong",2),
_xlpm.d,ABS(_xlpm.x-_xlpm.y),
IF(_xlpm.d=0,"green",IF(_xlpm.d=1,"orange",IF(_xlpm.d=2,"red","check")))
)</f>
        <v>green</v>
      </c>
      <c r="EB11" s="1" t="str">
        <f t="array" ref="EB11">_xlfn.LET(
_xlpm.a,LOWER(TRIM(DW11&amp;"")),
_xlpm.b,LOWER(TRIM(DX11&amp;"")),
_xlpm.x,_xlfn.IFS(_xlpm.a="0",0,_xlpm.a="none",0,_xlpm.a="moderate",1,_xlpm.a="strong",2),
_xlpm.y,_xlfn.IFS(_xlpm.b="0",0,_xlpm.b="none",0,_xlpm.b="moderate",1,_xlpm.b="strong",2),
_xlpm.d,ABS(_xlpm.x-_xlpm.y),
IF(_xlpm.d=0,"green",IF(_xlpm.d=1,"orange",IF(_xlpm.d=2,"red","check")))
)</f>
        <v>green</v>
      </c>
      <c r="EC11"/>
      <c r="ED11"/>
      <c r="EE11"/>
      <c r="EF11"/>
      <c r="EG11"/>
      <c r="EH11"/>
      <c r="EI11"/>
      <c r="EJ11"/>
      <c r="EK11"/>
      <c r="EL11"/>
      <c r="EM11"/>
      <c r="EN11"/>
      <c r="EO11"/>
      <c r="EP11"/>
      <c r="EQ11"/>
      <c r="ER11"/>
      <c r="ES11" s="58" t="str">
        <f t="shared" si="8"/>
        <v/>
      </c>
      <c r="ET11" s="58" t="str">
        <f t="shared" si="9"/>
        <v>No</v>
      </c>
      <c r="EU11" s="59" t="str">
        <f t="shared" si="15"/>
        <v>Uninformative</v>
      </c>
      <c r="EV11" s="59" t="str">
        <f t="shared" si="16"/>
        <v>Uninformative</v>
      </c>
      <c r="EW11" s="59" t="str">
        <f t="shared" si="10"/>
        <v>Uninformative</v>
      </c>
      <c r="EX11" s="58" t="str">
        <f t="shared" si="11"/>
        <v>Uninformative</v>
      </c>
      <c r="EY11" s="58" t="str">
        <f t="shared" si="12"/>
        <v>Uninformative</v>
      </c>
      <c r="EZ11" s="58" t="str">
        <f t="shared" si="13"/>
        <v>Uninformative</v>
      </c>
      <c r="FA11" s="58" t="str">
        <f t="shared" si="14"/>
        <v>No</v>
      </c>
      <c r="FB11" s="34"/>
      <c r="FC11" s="34"/>
      <c r="FD11" s="34"/>
      <c r="FE11" s="34"/>
      <c r="FF11" s="34"/>
      <c r="FG11" s="34"/>
      <c r="FH11" s="34"/>
    </row>
    <row r="12" spans="1:198" ht="20" customHeight="1">
      <c r="A12" s="32"/>
      <c r="B12" s="32"/>
      <c r="C12" s="32"/>
      <c r="D12" s="32"/>
      <c r="E12" s="32"/>
      <c r="F12" s="32"/>
      <c r="G12" s="32"/>
      <c r="H12" s="32"/>
      <c r="I12" s="32"/>
      <c r="J12" s="32"/>
      <c r="K12" s="32"/>
      <c r="L12" s="32"/>
      <c r="M12" s="32"/>
      <c r="N12" s="32"/>
      <c r="O12" s="32"/>
      <c r="P12" s="32"/>
      <c r="Q12" s="32"/>
      <c r="R12" s="32"/>
      <c r="S12" s="32"/>
      <c r="T12" s="32"/>
      <c r="U12" s="32"/>
      <c r="V12" s="32"/>
      <c r="W12" s="32"/>
      <c r="X12"/>
      <c r="Y12"/>
      <c r="Z12"/>
      <c r="AA12"/>
      <c r="AB12"/>
      <c r="AC12"/>
      <c r="AD12"/>
      <c r="AG12"/>
      <c r="AH12"/>
      <c r="AI12"/>
      <c r="AJ12"/>
      <c r="AK12"/>
      <c r="AL12"/>
      <c r="AM12"/>
      <c r="AN12"/>
      <c r="AO12"/>
      <c r="AP12"/>
      <c r="AQ12"/>
      <c r="AR12"/>
      <c r="AS12"/>
      <c r="AT12"/>
      <c r="AU12"/>
      <c r="AV12"/>
      <c r="AW12"/>
      <c r="AX12"/>
      <c r="AY12"/>
      <c r="AZ12"/>
      <c r="BA12"/>
      <c r="BB12"/>
      <c r="BC12"/>
      <c r="BD12"/>
      <c r="BE12"/>
      <c r="BF12"/>
      <c r="BG12"/>
      <c r="BH12"/>
      <c r="BI12"/>
      <c r="BJ12"/>
      <c r="BK12"/>
      <c r="BL12"/>
      <c r="BQ12"/>
      <c r="BR12"/>
      <c r="BS12"/>
      <c r="BT12"/>
      <c r="BU12"/>
      <c r="BV12"/>
      <c r="BW12"/>
      <c r="BX12"/>
      <c r="BY12"/>
      <c r="BZ12"/>
      <c r="CB12"/>
      <c r="CC12"/>
      <c r="CD12"/>
      <c r="CF12"/>
      <c r="CG12"/>
      <c r="CH12"/>
      <c r="CJ12"/>
      <c r="CK12"/>
      <c r="CL12"/>
      <c r="CM12"/>
      <c r="CN12"/>
      <c r="CP12"/>
      <c r="CQ12"/>
      <c r="CR12"/>
      <c r="CS12"/>
      <c r="CT12"/>
      <c r="CU12"/>
      <c r="CV12"/>
      <c r="CW12"/>
      <c r="CX12"/>
      <c r="CY12"/>
      <c r="CZ12"/>
      <c r="DA12"/>
      <c r="DB12"/>
      <c r="DC12"/>
      <c r="DD12"/>
      <c r="DE12"/>
      <c r="DF12"/>
      <c r="DG12"/>
      <c r="DH12"/>
      <c r="DI12"/>
      <c r="DJ12"/>
      <c r="DK12"/>
      <c r="DL12"/>
      <c r="DM12"/>
      <c r="DN12"/>
      <c r="DO12"/>
      <c r="DP12"/>
      <c r="DQ12" s="1">
        <f t="shared" si="0"/>
        <v>0</v>
      </c>
      <c r="DR12" s="1">
        <f t="shared" si="1"/>
        <v>0</v>
      </c>
      <c r="DS12" s="1">
        <f t="shared" si="2"/>
        <v>0</v>
      </c>
      <c r="DT12" s="1">
        <f t="shared" si="3"/>
        <v>0</v>
      </c>
      <c r="DU12" s="1">
        <f t="shared" si="4"/>
        <v>0</v>
      </c>
      <c r="DV12" s="1">
        <f t="shared" si="5"/>
        <v>0</v>
      </c>
      <c r="DW12" s="1">
        <f t="shared" si="6"/>
        <v>0</v>
      </c>
      <c r="DX12" s="1">
        <f t="shared" si="7"/>
        <v>0</v>
      </c>
      <c r="DY12" s="1" t="str">
        <f t="array" ref="DY12">_xlfn.LET(
_xlpm.a,LOWER(TRIM(DQ12&amp;"")),
_xlpm.b,LOWER(TRIM(DR12&amp;"")),
_xlpm.x,_xlfn.IFS(_xlpm.a="0",0,_xlpm.a="none",0,_xlpm.a="moderate",1,_xlpm.a="strong",2),
_xlpm.y,_xlfn.IFS(_xlpm.b="0",0,_xlpm.b="none",0,_xlpm.b="moderate",1,_xlpm.b="strong",2),
_xlpm.d,ABS(_xlpm.x-_xlpm.y),
IF(_xlpm.d=0,"green",IF(_xlpm.d=1,"orange",IF(_xlpm.d=2,"red","check")))
)</f>
        <v>green</v>
      </c>
      <c r="DZ12" s="1" t="str">
        <f t="array" ref="DZ12">_xlfn.LET(
_xlpm.a,LOWER(TRIM(DS12&amp;"")),
_xlpm.b,LOWER(TRIM(DT12&amp;"")),
_xlpm.x,_xlfn.IFS(_xlpm.a="0",0,_xlpm.a="none",0,_xlpm.a="moderate",1,_xlpm.a="strong",2),
_xlpm.y,_xlfn.IFS(_xlpm.b="0",0,_xlpm.b="none",0,_xlpm.b="moderate",1,_xlpm.b="strong",2),
_xlpm.d,ABS(_xlpm.x-_xlpm.y),
IF(_xlpm.d=0,"green",IF(_xlpm.d=1,"orange",IF(_xlpm.d=2,"red","check")))
)</f>
        <v>green</v>
      </c>
      <c r="EA12" s="1" t="str">
        <f t="array" ref="EA12">_xlfn.LET(
_xlpm.a,LOWER(TRIM(DU12&amp;"")),
_xlpm.b,LOWER(TRIM(DV12&amp;"")),
_xlpm.x,_xlfn.IFS(_xlpm.a="0",0,_xlpm.a="none",0,_xlpm.a="moderate",1,_xlpm.a="strong",2),
_xlpm.y,_xlfn.IFS(_xlpm.b="0",0,_xlpm.b="none",0,_xlpm.b="moderate",1,_xlpm.b="strong",2),
_xlpm.d,ABS(_xlpm.x-_xlpm.y),
IF(_xlpm.d=0,"green",IF(_xlpm.d=1,"orange",IF(_xlpm.d=2,"red","check")))
)</f>
        <v>green</v>
      </c>
      <c r="EB12" s="1" t="str">
        <f t="array" ref="EB12">_xlfn.LET(
_xlpm.a,LOWER(TRIM(DW12&amp;"")),
_xlpm.b,LOWER(TRIM(DX12&amp;"")),
_xlpm.x,_xlfn.IFS(_xlpm.a="0",0,_xlpm.a="none",0,_xlpm.a="moderate",1,_xlpm.a="strong",2),
_xlpm.y,_xlfn.IFS(_xlpm.b="0",0,_xlpm.b="none",0,_xlpm.b="moderate",1,_xlpm.b="strong",2),
_xlpm.d,ABS(_xlpm.x-_xlpm.y),
IF(_xlpm.d=0,"green",IF(_xlpm.d=1,"orange",IF(_xlpm.d=2,"red","check")))
)</f>
        <v>green</v>
      </c>
      <c r="EC12"/>
      <c r="ED12"/>
      <c r="EE12"/>
      <c r="EF12"/>
      <c r="EG12"/>
      <c r="EH12"/>
      <c r="EI12"/>
      <c r="EJ12"/>
      <c r="EK12"/>
      <c r="EL12"/>
      <c r="EM12"/>
      <c r="EN12"/>
      <c r="EO12"/>
      <c r="EP12"/>
      <c r="EQ12"/>
      <c r="ER12"/>
      <c r="ES12" s="58" t="str">
        <f t="shared" si="8"/>
        <v/>
      </c>
      <c r="ET12" s="58" t="str">
        <f t="shared" si="9"/>
        <v>No</v>
      </c>
      <c r="EU12" s="59" t="str">
        <f t="shared" si="15"/>
        <v>Uninformative</v>
      </c>
      <c r="EV12" s="59" t="str">
        <f t="shared" si="16"/>
        <v>Uninformative</v>
      </c>
      <c r="EW12" s="59" t="str">
        <f t="shared" si="10"/>
        <v>Uninformative</v>
      </c>
      <c r="EX12" s="58" t="str">
        <f t="shared" si="11"/>
        <v>Uninformative</v>
      </c>
      <c r="EY12" s="58" t="str">
        <f t="shared" si="12"/>
        <v>Uninformative</v>
      </c>
      <c r="EZ12" s="58" t="str">
        <f t="shared" si="13"/>
        <v>Uninformative</v>
      </c>
      <c r="FA12" s="58" t="str">
        <f t="shared" si="14"/>
        <v>No</v>
      </c>
      <c r="FB12" s="34"/>
      <c r="FC12" s="34"/>
      <c r="FD12" s="34"/>
      <c r="FE12" s="34"/>
      <c r="FF12" s="34"/>
      <c r="FG12" s="34"/>
      <c r="FH12" s="34"/>
    </row>
    <row r="13" spans="1:198" ht="20" customHeight="1">
      <c r="A13" s="32"/>
      <c r="B13" s="32"/>
      <c r="C13" s="32"/>
      <c r="D13" s="32"/>
      <c r="E13" s="32"/>
      <c r="F13" s="32"/>
      <c r="G13" s="32"/>
      <c r="H13" s="32"/>
      <c r="I13" s="32"/>
      <c r="J13" s="32"/>
      <c r="K13" s="32"/>
      <c r="L13" s="32"/>
      <c r="M13" s="32"/>
      <c r="N13" s="32"/>
      <c r="O13" s="32"/>
      <c r="P13" s="32"/>
      <c r="Q13" s="32"/>
      <c r="R13" s="32"/>
      <c r="S13" s="32"/>
      <c r="T13" s="32"/>
      <c r="U13" s="32"/>
      <c r="V13" s="32"/>
      <c r="W13" s="32"/>
      <c r="X13"/>
      <c r="Y13"/>
      <c r="Z13"/>
      <c r="AA13"/>
      <c r="AB13"/>
      <c r="AC13"/>
      <c r="AD13"/>
      <c r="AG13"/>
      <c r="AH13"/>
      <c r="AI13"/>
      <c r="AJ13"/>
      <c r="AK13"/>
      <c r="AL13"/>
      <c r="AM13"/>
      <c r="AN13"/>
      <c r="AO13"/>
      <c r="AP13"/>
      <c r="AQ13"/>
      <c r="AR13"/>
      <c r="AS13"/>
      <c r="AT13"/>
      <c r="AU13"/>
      <c r="AV13"/>
      <c r="AW13"/>
      <c r="AX13"/>
      <c r="AY13"/>
      <c r="AZ13"/>
      <c r="BA13"/>
      <c r="BB13"/>
      <c r="BC13"/>
      <c r="BD13"/>
      <c r="BE13"/>
      <c r="BF13"/>
      <c r="BG13"/>
      <c r="BH13"/>
      <c r="BI13"/>
      <c r="BJ13"/>
      <c r="BK13"/>
      <c r="BL13"/>
      <c r="BQ13"/>
      <c r="BR13"/>
      <c r="BS13"/>
      <c r="BT13"/>
      <c r="BU13"/>
      <c r="BV13"/>
      <c r="BW13"/>
      <c r="BX13"/>
      <c r="BY13"/>
      <c r="BZ13"/>
      <c r="CB13"/>
      <c r="CC13"/>
      <c r="CD13"/>
      <c r="CF13"/>
      <c r="CG13"/>
      <c r="CH13"/>
      <c r="CJ13"/>
      <c r="CK13"/>
      <c r="CL13"/>
      <c r="CM13"/>
      <c r="CN13"/>
      <c r="CP13"/>
      <c r="CQ13"/>
      <c r="CR13"/>
      <c r="CS13"/>
      <c r="CT13"/>
      <c r="CU13"/>
      <c r="CV13"/>
      <c r="CW13"/>
      <c r="CX13"/>
      <c r="CY13"/>
      <c r="CZ13"/>
      <c r="DA13"/>
      <c r="DB13"/>
      <c r="DC13"/>
      <c r="DD13"/>
      <c r="DE13"/>
      <c r="DF13"/>
      <c r="DG13"/>
      <c r="DH13"/>
      <c r="DI13"/>
      <c r="DJ13"/>
      <c r="DK13"/>
      <c r="DL13"/>
      <c r="DM13"/>
      <c r="DN13"/>
      <c r="DO13"/>
      <c r="DP13"/>
      <c r="DQ13" s="1">
        <f t="shared" si="0"/>
        <v>0</v>
      </c>
      <c r="DR13" s="1">
        <f t="shared" si="1"/>
        <v>0</v>
      </c>
      <c r="DS13" s="1">
        <f t="shared" si="2"/>
        <v>0</v>
      </c>
      <c r="DT13" s="1">
        <f t="shared" si="3"/>
        <v>0</v>
      </c>
      <c r="DU13" s="1">
        <f t="shared" si="4"/>
        <v>0</v>
      </c>
      <c r="DV13" s="1">
        <f t="shared" si="5"/>
        <v>0</v>
      </c>
      <c r="DW13" s="1">
        <f t="shared" si="6"/>
        <v>0</v>
      </c>
      <c r="DX13" s="1">
        <f t="shared" si="7"/>
        <v>0</v>
      </c>
      <c r="DY13" s="1" t="str">
        <f t="array" ref="DY13">_xlfn.LET(
_xlpm.a,LOWER(TRIM(DQ13&amp;"")),
_xlpm.b,LOWER(TRIM(DR13&amp;"")),
_xlpm.x,_xlfn.IFS(_xlpm.a="0",0,_xlpm.a="none",0,_xlpm.a="moderate",1,_xlpm.a="strong",2),
_xlpm.y,_xlfn.IFS(_xlpm.b="0",0,_xlpm.b="none",0,_xlpm.b="moderate",1,_xlpm.b="strong",2),
_xlpm.d,ABS(_xlpm.x-_xlpm.y),
IF(_xlpm.d=0,"green",IF(_xlpm.d=1,"orange",IF(_xlpm.d=2,"red","check")))
)</f>
        <v>green</v>
      </c>
      <c r="DZ13" s="1" t="str">
        <f t="array" ref="DZ13">_xlfn.LET(
_xlpm.a,LOWER(TRIM(DS13&amp;"")),
_xlpm.b,LOWER(TRIM(DT13&amp;"")),
_xlpm.x,_xlfn.IFS(_xlpm.a="0",0,_xlpm.a="none",0,_xlpm.a="moderate",1,_xlpm.a="strong",2),
_xlpm.y,_xlfn.IFS(_xlpm.b="0",0,_xlpm.b="none",0,_xlpm.b="moderate",1,_xlpm.b="strong",2),
_xlpm.d,ABS(_xlpm.x-_xlpm.y),
IF(_xlpm.d=0,"green",IF(_xlpm.d=1,"orange",IF(_xlpm.d=2,"red","check")))
)</f>
        <v>green</v>
      </c>
      <c r="EA13" s="1" t="str">
        <f t="array" ref="EA13">_xlfn.LET(
_xlpm.a,LOWER(TRIM(DU13&amp;"")),
_xlpm.b,LOWER(TRIM(DV13&amp;"")),
_xlpm.x,_xlfn.IFS(_xlpm.a="0",0,_xlpm.a="none",0,_xlpm.a="moderate",1,_xlpm.a="strong",2),
_xlpm.y,_xlfn.IFS(_xlpm.b="0",0,_xlpm.b="none",0,_xlpm.b="moderate",1,_xlpm.b="strong",2),
_xlpm.d,ABS(_xlpm.x-_xlpm.y),
IF(_xlpm.d=0,"green",IF(_xlpm.d=1,"orange",IF(_xlpm.d=2,"red","check")))
)</f>
        <v>green</v>
      </c>
      <c r="EB13" s="1" t="str">
        <f t="array" ref="EB13">_xlfn.LET(
_xlpm.a,LOWER(TRIM(DW13&amp;"")),
_xlpm.b,LOWER(TRIM(DX13&amp;"")),
_xlpm.x,_xlfn.IFS(_xlpm.a="0",0,_xlpm.a="none",0,_xlpm.a="moderate",1,_xlpm.a="strong",2),
_xlpm.y,_xlfn.IFS(_xlpm.b="0",0,_xlpm.b="none",0,_xlpm.b="moderate",1,_xlpm.b="strong",2),
_xlpm.d,ABS(_xlpm.x-_xlpm.y),
IF(_xlpm.d=0,"green",IF(_xlpm.d=1,"orange",IF(_xlpm.d=2,"red","check")))
)</f>
        <v>green</v>
      </c>
      <c r="EC13"/>
      <c r="ED13"/>
      <c r="EE13"/>
      <c r="EF13"/>
      <c r="EG13"/>
      <c r="EH13"/>
      <c r="EI13"/>
      <c r="EJ13"/>
      <c r="EK13"/>
      <c r="EL13"/>
      <c r="EM13"/>
      <c r="EN13"/>
      <c r="EO13"/>
      <c r="EP13"/>
      <c r="EQ13"/>
      <c r="ER13"/>
      <c r="ES13" s="58" t="str">
        <f t="shared" si="8"/>
        <v/>
      </c>
      <c r="ET13" s="58" t="str">
        <f t="shared" si="9"/>
        <v>No</v>
      </c>
      <c r="EU13" s="59" t="str">
        <f t="shared" si="15"/>
        <v>Uninformative</v>
      </c>
      <c r="EV13" s="59" t="str">
        <f t="shared" si="16"/>
        <v>Uninformative</v>
      </c>
      <c r="EW13" s="59" t="str">
        <f t="shared" si="10"/>
        <v>Uninformative</v>
      </c>
      <c r="EX13" s="58" t="str">
        <f t="shared" si="11"/>
        <v>Uninformative</v>
      </c>
      <c r="EY13" s="58" t="str">
        <f t="shared" si="12"/>
        <v>Uninformative</v>
      </c>
      <c r="EZ13" s="58" t="str">
        <f t="shared" si="13"/>
        <v>Uninformative</v>
      </c>
      <c r="FA13" s="58" t="str">
        <f t="shared" si="14"/>
        <v>No</v>
      </c>
      <c r="FB13" s="34"/>
      <c r="FC13" s="34"/>
      <c r="FD13" s="34"/>
      <c r="FE13" s="34"/>
      <c r="FF13" s="34"/>
      <c r="FG13" s="34"/>
      <c r="FH13" s="34"/>
    </row>
    <row r="14" spans="1:198" ht="20" customHeight="1">
      <c r="A14" s="32"/>
      <c r="B14" s="32"/>
      <c r="C14" s="32"/>
      <c r="D14" s="32"/>
      <c r="E14" s="32"/>
      <c r="F14" s="32"/>
      <c r="G14" s="32"/>
      <c r="H14" s="32"/>
      <c r="I14" s="32"/>
      <c r="J14" s="32"/>
      <c r="K14" s="32"/>
      <c r="L14" s="32"/>
      <c r="M14" s="32"/>
      <c r="N14" s="32"/>
      <c r="O14" s="32"/>
      <c r="P14" s="32"/>
      <c r="Q14" s="32"/>
      <c r="R14" s="32"/>
      <c r="S14" s="32"/>
      <c r="T14" s="32"/>
      <c r="U14" s="32"/>
      <c r="V14" s="32"/>
      <c r="W14" s="32"/>
      <c r="X14"/>
      <c r="AA14"/>
      <c r="AB14"/>
      <c r="CZ14"/>
      <c r="DA14"/>
      <c r="DB14"/>
      <c r="DC14"/>
      <c r="DD14"/>
      <c r="DE14"/>
      <c r="DF14"/>
      <c r="DG14"/>
      <c r="DH14"/>
      <c r="DI14"/>
      <c r="DJ14"/>
      <c r="DK14"/>
      <c r="DL14"/>
      <c r="DM14"/>
      <c r="DN14"/>
      <c r="DO14"/>
      <c r="DP14"/>
      <c r="DQ14" s="1">
        <f t="shared" si="0"/>
        <v>0</v>
      </c>
      <c r="DR14" s="1">
        <f t="shared" si="1"/>
        <v>0</v>
      </c>
      <c r="DS14" s="1">
        <f t="shared" si="2"/>
        <v>0</v>
      </c>
      <c r="DT14" s="1">
        <f t="shared" si="3"/>
        <v>0</v>
      </c>
      <c r="DU14" s="1">
        <f t="shared" si="4"/>
        <v>0</v>
      </c>
      <c r="DV14" s="1">
        <f t="shared" si="5"/>
        <v>0</v>
      </c>
      <c r="DW14" s="1">
        <f t="shared" si="6"/>
        <v>0</v>
      </c>
      <c r="DX14" s="1">
        <f t="shared" si="7"/>
        <v>0</v>
      </c>
      <c r="DY14" s="1" t="str">
        <f t="array" ref="DY14">_xlfn.LET(
_xlpm.a,LOWER(TRIM(DQ14&amp;"")),
_xlpm.b,LOWER(TRIM(DR14&amp;"")),
_xlpm.x,_xlfn.IFS(_xlpm.a="0",0,_xlpm.a="none",0,_xlpm.a="moderate",1,_xlpm.a="strong",2),
_xlpm.y,_xlfn.IFS(_xlpm.b="0",0,_xlpm.b="none",0,_xlpm.b="moderate",1,_xlpm.b="strong",2),
_xlpm.d,ABS(_xlpm.x-_xlpm.y),
IF(_xlpm.d=0,"green",IF(_xlpm.d=1,"orange",IF(_xlpm.d=2,"red","check")))
)</f>
        <v>green</v>
      </c>
      <c r="DZ14" s="1" t="str">
        <f t="array" ref="DZ14">_xlfn.LET(
_xlpm.a,LOWER(TRIM(DS14&amp;"")),
_xlpm.b,LOWER(TRIM(DT14&amp;"")),
_xlpm.x,_xlfn.IFS(_xlpm.a="0",0,_xlpm.a="none",0,_xlpm.a="moderate",1,_xlpm.a="strong",2),
_xlpm.y,_xlfn.IFS(_xlpm.b="0",0,_xlpm.b="none",0,_xlpm.b="moderate",1,_xlpm.b="strong",2),
_xlpm.d,ABS(_xlpm.x-_xlpm.y),
IF(_xlpm.d=0,"green",IF(_xlpm.d=1,"orange",IF(_xlpm.d=2,"red","check")))
)</f>
        <v>green</v>
      </c>
      <c r="EA14" s="1" t="str">
        <f t="array" ref="EA14">_xlfn.LET(
_xlpm.a,LOWER(TRIM(DU14&amp;"")),
_xlpm.b,LOWER(TRIM(DV14&amp;"")),
_xlpm.x,_xlfn.IFS(_xlpm.a="0",0,_xlpm.a="none",0,_xlpm.a="moderate",1,_xlpm.a="strong",2),
_xlpm.y,_xlfn.IFS(_xlpm.b="0",0,_xlpm.b="none",0,_xlpm.b="moderate",1,_xlpm.b="strong",2),
_xlpm.d,ABS(_xlpm.x-_xlpm.y),
IF(_xlpm.d=0,"green",IF(_xlpm.d=1,"orange",IF(_xlpm.d=2,"red","check")))
)</f>
        <v>green</v>
      </c>
      <c r="EB14" s="1" t="str">
        <f t="array" ref="EB14">_xlfn.LET(
_xlpm.a,LOWER(TRIM(DW14&amp;"")),
_xlpm.b,LOWER(TRIM(DX14&amp;"")),
_xlpm.x,_xlfn.IFS(_xlpm.a="0",0,_xlpm.a="none",0,_xlpm.a="moderate",1,_xlpm.a="strong",2),
_xlpm.y,_xlfn.IFS(_xlpm.b="0",0,_xlpm.b="none",0,_xlpm.b="moderate",1,_xlpm.b="strong",2),
_xlpm.d,ABS(_xlpm.x-_xlpm.y),
IF(_xlpm.d=0,"green",IF(_xlpm.d=1,"orange",IF(_xlpm.d=2,"red","check")))
)</f>
        <v>green</v>
      </c>
      <c r="EC14"/>
      <c r="ED14"/>
      <c r="EE14"/>
      <c r="EF14"/>
      <c r="EG14"/>
      <c r="EH14"/>
      <c r="EI14"/>
      <c r="EJ14"/>
      <c r="EK14"/>
      <c r="EL14"/>
      <c r="EM14"/>
      <c r="EN14"/>
      <c r="EO14"/>
      <c r="EP14"/>
      <c r="EQ14"/>
      <c r="ER14"/>
      <c r="ES14" s="58" t="str">
        <f t="shared" si="8"/>
        <v/>
      </c>
      <c r="ET14" s="58" t="str">
        <f t="shared" si="9"/>
        <v>No</v>
      </c>
      <c r="EU14" s="59" t="str">
        <f t="shared" si="15"/>
        <v>Uninformative</v>
      </c>
      <c r="EV14" s="59" t="str">
        <f t="shared" si="16"/>
        <v>Uninformative</v>
      </c>
      <c r="EW14" s="59" t="str">
        <f t="shared" si="10"/>
        <v>Uninformative</v>
      </c>
      <c r="EX14" s="58" t="str">
        <f t="shared" si="11"/>
        <v>Uninformative</v>
      </c>
      <c r="EY14" s="58" t="str">
        <f t="shared" si="12"/>
        <v>Uninformative</v>
      </c>
      <c r="EZ14" s="58" t="str">
        <f t="shared" si="13"/>
        <v>Uninformative</v>
      </c>
      <c r="FA14" s="58" t="str">
        <f t="shared" si="14"/>
        <v>No</v>
      </c>
      <c r="FB14" s="34"/>
      <c r="FC14" s="34"/>
      <c r="FD14" s="34"/>
      <c r="FE14" s="34"/>
      <c r="FF14" s="34"/>
      <c r="FG14" s="34"/>
      <c r="FH14" s="34"/>
    </row>
    <row r="15" spans="1:198" ht="20" customHeight="1">
      <c r="A15" s="32"/>
      <c r="B15" s="32"/>
      <c r="C15" s="32"/>
      <c r="D15" s="32"/>
      <c r="E15" s="32"/>
      <c r="F15" s="32"/>
      <c r="G15" s="32"/>
      <c r="H15" s="32"/>
      <c r="I15" s="32"/>
      <c r="J15" s="32"/>
      <c r="K15" s="32"/>
      <c r="L15" s="32"/>
      <c r="M15" s="32"/>
      <c r="N15" s="32"/>
      <c r="O15" s="32"/>
      <c r="P15" s="32"/>
      <c r="Q15" s="32"/>
      <c r="R15" s="32"/>
      <c r="S15" s="32"/>
      <c r="T15" s="32"/>
      <c r="U15" s="32"/>
      <c r="V15" s="32"/>
      <c r="W15" s="32"/>
      <c r="X15"/>
      <c r="Y15"/>
      <c r="Z15"/>
      <c r="AA15"/>
      <c r="AB15"/>
      <c r="AG15" s="33"/>
      <c r="AH15"/>
      <c r="AI15"/>
      <c r="AJ15"/>
      <c r="AK15"/>
      <c r="AL15"/>
      <c r="AM15"/>
      <c r="AN15"/>
      <c r="AO15"/>
      <c r="AP15"/>
      <c r="AQ15"/>
      <c r="AR15"/>
      <c r="AS15"/>
      <c r="AT15"/>
      <c r="AU15"/>
      <c r="AV15"/>
      <c r="AW15"/>
      <c r="AX15"/>
      <c r="AY15"/>
      <c r="AZ15"/>
      <c r="BU15"/>
      <c r="BV15"/>
      <c r="BW15"/>
      <c r="BX15"/>
      <c r="BY15"/>
      <c r="BZ15"/>
      <c r="CB15"/>
      <c r="CC15"/>
      <c r="CD15"/>
      <c r="CF15"/>
      <c r="CG15"/>
      <c r="CH15"/>
      <c r="CJ15"/>
      <c r="CK15"/>
      <c r="CQ15"/>
      <c r="CR15"/>
      <c r="CS15"/>
      <c r="CT15"/>
      <c r="CU15"/>
      <c r="CV15"/>
      <c r="CW15"/>
      <c r="CX15"/>
      <c r="CY15"/>
      <c r="CZ15"/>
      <c r="DA15"/>
      <c r="DB15"/>
      <c r="DC15"/>
      <c r="DD15"/>
      <c r="DE15"/>
      <c r="DF15"/>
      <c r="DG15"/>
      <c r="DH15"/>
      <c r="DI15"/>
      <c r="DJ15"/>
      <c r="DK15"/>
      <c r="DL15"/>
      <c r="DM15"/>
      <c r="DN15"/>
      <c r="DO15"/>
      <c r="DP15"/>
      <c r="DQ15" s="1">
        <f t="shared" si="0"/>
        <v>0</v>
      </c>
      <c r="DR15" s="1">
        <f t="shared" si="1"/>
        <v>0</v>
      </c>
      <c r="DS15" s="1">
        <f t="shared" si="2"/>
        <v>0</v>
      </c>
      <c r="DT15" s="1">
        <f t="shared" si="3"/>
        <v>0</v>
      </c>
      <c r="DU15" s="1">
        <f t="shared" si="4"/>
        <v>0</v>
      </c>
      <c r="DV15" s="1">
        <f t="shared" si="5"/>
        <v>0</v>
      </c>
      <c r="DW15" s="1">
        <f t="shared" si="6"/>
        <v>0</v>
      </c>
      <c r="DX15" s="1">
        <f t="shared" si="7"/>
        <v>0</v>
      </c>
      <c r="DY15" s="1" t="str">
        <f t="array" ref="DY15">_xlfn.LET(
_xlpm.a,LOWER(TRIM(DQ15&amp;"")),
_xlpm.b,LOWER(TRIM(DR15&amp;"")),
_xlpm.x,_xlfn.IFS(_xlpm.a="0",0,_xlpm.a="none",0,_xlpm.a="moderate",1,_xlpm.a="strong",2),
_xlpm.y,_xlfn.IFS(_xlpm.b="0",0,_xlpm.b="none",0,_xlpm.b="moderate",1,_xlpm.b="strong",2),
_xlpm.d,ABS(_xlpm.x-_xlpm.y),
IF(_xlpm.d=0,"green",IF(_xlpm.d=1,"orange",IF(_xlpm.d=2,"red","check")))
)</f>
        <v>green</v>
      </c>
      <c r="DZ15" s="1" t="str">
        <f t="array" ref="DZ15">_xlfn.LET(
_xlpm.a,LOWER(TRIM(DS15&amp;"")),
_xlpm.b,LOWER(TRIM(DT15&amp;"")),
_xlpm.x,_xlfn.IFS(_xlpm.a="0",0,_xlpm.a="none",0,_xlpm.a="moderate",1,_xlpm.a="strong",2),
_xlpm.y,_xlfn.IFS(_xlpm.b="0",0,_xlpm.b="none",0,_xlpm.b="moderate",1,_xlpm.b="strong",2),
_xlpm.d,ABS(_xlpm.x-_xlpm.y),
IF(_xlpm.d=0,"green",IF(_xlpm.d=1,"orange",IF(_xlpm.d=2,"red","check")))
)</f>
        <v>green</v>
      </c>
      <c r="EA15" s="1" t="str">
        <f t="array" ref="EA15">_xlfn.LET(
_xlpm.a,LOWER(TRIM(DU15&amp;"")),
_xlpm.b,LOWER(TRIM(DV15&amp;"")),
_xlpm.x,_xlfn.IFS(_xlpm.a="0",0,_xlpm.a="none",0,_xlpm.a="moderate",1,_xlpm.a="strong",2),
_xlpm.y,_xlfn.IFS(_xlpm.b="0",0,_xlpm.b="none",0,_xlpm.b="moderate",1,_xlpm.b="strong",2),
_xlpm.d,ABS(_xlpm.x-_xlpm.y),
IF(_xlpm.d=0,"green",IF(_xlpm.d=1,"orange",IF(_xlpm.d=2,"red","check")))
)</f>
        <v>green</v>
      </c>
      <c r="EB15" s="1" t="str">
        <f t="array" ref="EB15">_xlfn.LET(
_xlpm.a,LOWER(TRIM(DW15&amp;"")),
_xlpm.b,LOWER(TRIM(DX15&amp;"")),
_xlpm.x,_xlfn.IFS(_xlpm.a="0",0,_xlpm.a="none",0,_xlpm.a="moderate",1,_xlpm.a="strong",2),
_xlpm.y,_xlfn.IFS(_xlpm.b="0",0,_xlpm.b="none",0,_xlpm.b="moderate",1,_xlpm.b="strong",2),
_xlpm.d,ABS(_xlpm.x-_xlpm.y),
IF(_xlpm.d=0,"green",IF(_xlpm.d=1,"orange",IF(_xlpm.d=2,"red","check")))
)</f>
        <v>green</v>
      </c>
      <c r="EC15"/>
      <c r="ED15"/>
      <c r="EE15"/>
      <c r="EF15"/>
      <c r="EG15"/>
      <c r="EH15"/>
      <c r="EI15"/>
      <c r="EJ15"/>
      <c r="EK15"/>
      <c r="EL15"/>
      <c r="EM15"/>
      <c r="EN15"/>
      <c r="EO15"/>
      <c r="EP15"/>
      <c r="EQ15"/>
      <c r="ER15"/>
      <c r="ES15" s="58" t="str">
        <f t="shared" si="8"/>
        <v/>
      </c>
      <c r="ET15" s="58" t="str">
        <f t="shared" si="9"/>
        <v>No</v>
      </c>
      <c r="EU15" s="59" t="str">
        <f t="shared" si="15"/>
        <v>Uninformative</v>
      </c>
      <c r="EV15" s="59" t="str">
        <f t="shared" si="16"/>
        <v>Uninformative</v>
      </c>
      <c r="EW15" s="59" t="str">
        <f t="shared" si="10"/>
        <v>Uninformative</v>
      </c>
      <c r="EX15" s="58" t="str">
        <f t="shared" si="11"/>
        <v>Uninformative</v>
      </c>
      <c r="EY15" s="58" t="str">
        <f t="shared" si="12"/>
        <v>Uninformative</v>
      </c>
      <c r="EZ15" s="58" t="str">
        <f t="shared" si="13"/>
        <v>Uninformative</v>
      </c>
      <c r="FA15" s="58" t="str">
        <f t="shared" si="14"/>
        <v>No</v>
      </c>
      <c r="FB15" s="34"/>
      <c r="FC15" s="34"/>
      <c r="FD15" s="34"/>
      <c r="FE15" s="34"/>
      <c r="FF15" s="34"/>
      <c r="FG15" s="34"/>
      <c r="FH15" s="34"/>
    </row>
    <row r="16" spans="1:198" ht="20" customHeight="1">
      <c r="A16" s="32"/>
      <c r="B16" s="32"/>
      <c r="C16" s="32"/>
      <c r="D16" s="32"/>
      <c r="E16" s="32"/>
      <c r="F16" s="32"/>
      <c r="G16" s="32"/>
      <c r="H16" s="32"/>
      <c r="I16" s="32"/>
      <c r="J16" s="32"/>
      <c r="K16" s="32"/>
      <c r="L16" s="32"/>
      <c r="M16" s="32"/>
      <c r="N16" s="32"/>
      <c r="O16" s="32"/>
      <c r="P16" s="32"/>
      <c r="Q16" s="32"/>
      <c r="R16" s="32"/>
      <c r="S16" s="32"/>
      <c r="T16" s="32"/>
      <c r="U16" s="32"/>
      <c r="V16" s="32"/>
      <c r="W16" s="32"/>
      <c r="X16"/>
      <c r="Y16"/>
      <c r="Z16"/>
      <c r="AA16"/>
      <c r="AB16"/>
      <c r="AC16"/>
      <c r="AD16"/>
      <c r="AG16"/>
      <c r="AH16"/>
      <c r="AI16"/>
      <c r="AJ16"/>
      <c r="AK16"/>
      <c r="AL16"/>
      <c r="AM16"/>
      <c r="AN16"/>
      <c r="AO16"/>
      <c r="AP16"/>
      <c r="AQ16"/>
      <c r="AR16"/>
      <c r="AS16"/>
      <c r="AT16"/>
      <c r="AU16"/>
      <c r="AV16"/>
      <c r="AW16"/>
      <c r="AX16"/>
      <c r="AY16"/>
      <c r="AZ16"/>
      <c r="BA16"/>
      <c r="BB16"/>
      <c r="BC16"/>
      <c r="BD16"/>
      <c r="BE16"/>
      <c r="BF16"/>
      <c r="BG16"/>
      <c r="BH16"/>
      <c r="BI16"/>
      <c r="BJ16"/>
      <c r="BK16"/>
      <c r="BL16"/>
      <c r="BQ16"/>
      <c r="BR16"/>
      <c r="BS16"/>
      <c r="BT16"/>
      <c r="BU16"/>
      <c r="BV16"/>
      <c r="BW16"/>
      <c r="BX16"/>
      <c r="BY16"/>
      <c r="BZ16"/>
      <c r="CB16"/>
      <c r="CC16"/>
      <c r="CD16"/>
      <c r="CF16"/>
      <c r="CG16"/>
      <c r="CH16"/>
      <c r="CJ16"/>
      <c r="CK16"/>
      <c r="CL16"/>
      <c r="CM16"/>
      <c r="CN16"/>
      <c r="CP16"/>
      <c r="CQ16"/>
      <c r="CR16"/>
      <c r="CS16"/>
      <c r="CT16"/>
      <c r="CU16"/>
      <c r="CV16"/>
      <c r="CW16"/>
      <c r="CX16"/>
      <c r="CY16"/>
      <c r="CZ16"/>
      <c r="DA16"/>
      <c r="DB16"/>
      <c r="DC16"/>
      <c r="DD16"/>
      <c r="DE16"/>
      <c r="DF16"/>
      <c r="DG16"/>
      <c r="DH16"/>
      <c r="DI16"/>
      <c r="DJ16"/>
      <c r="DK16"/>
      <c r="DL16"/>
      <c r="DM16"/>
      <c r="DN16"/>
      <c r="DO16"/>
      <c r="DP16"/>
      <c r="DQ16" s="1">
        <f t="shared" si="0"/>
        <v>0</v>
      </c>
      <c r="DR16" s="1">
        <f t="shared" si="1"/>
        <v>0</v>
      </c>
      <c r="DS16" s="1">
        <f t="shared" si="2"/>
        <v>0</v>
      </c>
      <c r="DT16" s="1">
        <f t="shared" si="3"/>
        <v>0</v>
      </c>
      <c r="DU16" s="1">
        <f t="shared" si="4"/>
        <v>0</v>
      </c>
      <c r="DV16" s="1">
        <f t="shared" si="5"/>
        <v>0</v>
      </c>
      <c r="DW16" s="1">
        <f t="shared" si="6"/>
        <v>0</v>
      </c>
      <c r="DX16" s="1">
        <f t="shared" si="7"/>
        <v>0</v>
      </c>
      <c r="DY16" s="1" t="str">
        <f t="array" ref="DY16">_xlfn.LET(
_xlpm.a,LOWER(TRIM(DQ16&amp;"")),
_xlpm.b,LOWER(TRIM(DR16&amp;"")),
_xlpm.x,_xlfn.IFS(_xlpm.a="0",0,_xlpm.a="none",0,_xlpm.a="moderate",1,_xlpm.a="strong",2),
_xlpm.y,_xlfn.IFS(_xlpm.b="0",0,_xlpm.b="none",0,_xlpm.b="moderate",1,_xlpm.b="strong",2),
_xlpm.d,ABS(_xlpm.x-_xlpm.y),
IF(_xlpm.d=0,"green",IF(_xlpm.d=1,"orange",IF(_xlpm.d=2,"red","check")))
)</f>
        <v>green</v>
      </c>
      <c r="DZ16" s="1" t="str">
        <f t="array" ref="DZ16">_xlfn.LET(
_xlpm.a,LOWER(TRIM(DS16&amp;"")),
_xlpm.b,LOWER(TRIM(DT16&amp;"")),
_xlpm.x,_xlfn.IFS(_xlpm.a="0",0,_xlpm.a="none",0,_xlpm.a="moderate",1,_xlpm.a="strong",2),
_xlpm.y,_xlfn.IFS(_xlpm.b="0",0,_xlpm.b="none",0,_xlpm.b="moderate",1,_xlpm.b="strong",2),
_xlpm.d,ABS(_xlpm.x-_xlpm.y),
IF(_xlpm.d=0,"green",IF(_xlpm.d=1,"orange",IF(_xlpm.d=2,"red","check")))
)</f>
        <v>green</v>
      </c>
      <c r="EA16" s="1" t="str">
        <f t="array" ref="EA16">_xlfn.LET(
_xlpm.a,LOWER(TRIM(DU16&amp;"")),
_xlpm.b,LOWER(TRIM(DV16&amp;"")),
_xlpm.x,_xlfn.IFS(_xlpm.a="0",0,_xlpm.a="none",0,_xlpm.a="moderate",1,_xlpm.a="strong",2),
_xlpm.y,_xlfn.IFS(_xlpm.b="0",0,_xlpm.b="none",0,_xlpm.b="moderate",1,_xlpm.b="strong",2),
_xlpm.d,ABS(_xlpm.x-_xlpm.y),
IF(_xlpm.d=0,"green",IF(_xlpm.d=1,"orange",IF(_xlpm.d=2,"red","check")))
)</f>
        <v>green</v>
      </c>
      <c r="EB16" s="1" t="str">
        <f t="array" ref="EB16">_xlfn.LET(
_xlpm.a,LOWER(TRIM(DW16&amp;"")),
_xlpm.b,LOWER(TRIM(DX16&amp;"")),
_xlpm.x,_xlfn.IFS(_xlpm.a="0",0,_xlpm.a="none",0,_xlpm.a="moderate",1,_xlpm.a="strong",2),
_xlpm.y,_xlfn.IFS(_xlpm.b="0",0,_xlpm.b="none",0,_xlpm.b="moderate",1,_xlpm.b="strong",2),
_xlpm.d,ABS(_xlpm.x-_xlpm.y),
IF(_xlpm.d=0,"green",IF(_xlpm.d=1,"orange",IF(_xlpm.d=2,"red","check")))
)</f>
        <v>green</v>
      </c>
      <c r="EC16"/>
      <c r="ED16"/>
      <c r="EE16"/>
      <c r="EF16"/>
      <c r="EG16"/>
      <c r="EH16"/>
      <c r="EI16"/>
      <c r="EJ16"/>
      <c r="EK16"/>
      <c r="EL16"/>
      <c r="EM16"/>
      <c r="EN16"/>
      <c r="EO16"/>
      <c r="EP16"/>
      <c r="EQ16"/>
      <c r="ER16"/>
      <c r="ES16" s="58" t="str">
        <f t="shared" si="8"/>
        <v/>
      </c>
      <c r="ET16" s="58" t="str">
        <f t="shared" si="9"/>
        <v>No</v>
      </c>
      <c r="EU16" s="59" t="str">
        <f t="shared" si="15"/>
        <v>Uninformative</v>
      </c>
      <c r="EV16" s="59" t="str">
        <f t="shared" si="16"/>
        <v>Uninformative</v>
      </c>
      <c r="EW16" s="59" t="str">
        <f t="shared" si="10"/>
        <v>Uninformative</v>
      </c>
      <c r="EX16" s="58" t="str">
        <f t="shared" si="11"/>
        <v>Uninformative</v>
      </c>
      <c r="EY16" s="58" t="str">
        <f t="shared" si="12"/>
        <v>Uninformative</v>
      </c>
      <c r="EZ16" s="58" t="str">
        <f t="shared" si="13"/>
        <v>Uninformative</v>
      </c>
      <c r="FA16" s="58" t="str">
        <f t="shared" si="14"/>
        <v>No</v>
      </c>
      <c r="FB16" s="34"/>
      <c r="FC16" s="34"/>
      <c r="FD16" s="34"/>
      <c r="FE16" s="34"/>
      <c r="FF16" s="34"/>
      <c r="FG16" s="34"/>
      <c r="FH16" s="34"/>
    </row>
    <row r="17" spans="1:164" ht="20" customHeight="1">
      <c r="A17" s="32"/>
      <c r="B17" s="32"/>
      <c r="C17" s="32"/>
      <c r="D17" s="32"/>
      <c r="E17" s="32"/>
      <c r="F17" s="32"/>
      <c r="G17" s="32"/>
      <c r="H17" s="32"/>
      <c r="I17" s="32"/>
      <c r="J17" s="32"/>
      <c r="K17" s="32"/>
      <c r="L17" s="32"/>
      <c r="M17" s="32"/>
      <c r="N17" s="32"/>
      <c r="O17" s="32"/>
      <c r="P17" s="32"/>
      <c r="Q17" s="32"/>
      <c r="R17" s="32"/>
      <c r="S17" s="32"/>
      <c r="T17" s="32"/>
      <c r="U17" s="32"/>
      <c r="V17" s="32"/>
      <c r="W17" s="32"/>
      <c r="X17"/>
      <c r="AA17"/>
      <c r="AB17"/>
      <c r="CZ17"/>
      <c r="DA17"/>
      <c r="DB17"/>
      <c r="DC17"/>
      <c r="DD17"/>
      <c r="DE17"/>
      <c r="DF17"/>
      <c r="DG17"/>
      <c r="DH17"/>
      <c r="DI17"/>
      <c r="DJ17"/>
      <c r="DK17"/>
      <c r="DL17"/>
      <c r="DM17"/>
      <c r="DN17"/>
      <c r="DO17"/>
      <c r="DP17"/>
      <c r="DQ17" s="1">
        <f t="shared" si="0"/>
        <v>0</v>
      </c>
      <c r="DR17" s="1">
        <f t="shared" si="1"/>
        <v>0</v>
      </c>
      <c r="DS17" s="1">
        <f t="shared" si="2"/>
        <v>0</v>
      </c>
      <c r="DT17" s="1">
        <f t="shared" si="3"/>
        <v>0</v>
      </c>
      <c r="DU17" s="1">
        <f t="shared" si="4"/>
        <v>0</v>
      </c>
      <c r="DV17" s="1">
        <f t="shared" si="5"/>
        <v>0</v>
      </c>
      <c r="DW17" s="1">
        <f t="shared" si="6"/>
        <v>0</v>
      </c>
      <c r="DX17" s="1">
        <f t="shared" si="7"/>
        <v>0</v>
      </c>
      <c r="DY17" s="1" t="str">
        <f t="array" ref="DY17">_xlfn.LET(
_xlpm.a,LOWER(TRIM(DQ17&amp;"")),
_xlpm.b,LOWER(TRIM(DR17&amp;"")),
_xlpm.x,_xlfn.IFS(_xlpm.a="0",0,_xlpm.a="none",0,_xlpm.a="moderate",1,_xlpm.a="strong",2),
_xlpm.y,_xlfn.IFS(_xlpm.b="0",0,_xlpm.b="none",0,_xlpm.b="moderate",1,_xlpm.b="strong",2),
_xlpm.d,ABS(_xlpm.x-_xlpm.y),
IF(_xlpm.d=0,"green",IF(_xlpm.d=1,"orange",IF(_xlpm.d=2,"red","check")))
)</f>
        <v>green</v>
      </c>
      <c r="DZ17" s="1" t="str">
        <f t="array" ref="DZ17">_xlfn.LET(
_xlpm.a,LOWER(TRIM(DS17&amp;"")),
_xlpm.b,LOWER(TRIM(DT17&amp;"")),
_xlpm.x,_xlfn.IFS(_xlpm.a="0",0,_xlpm.a="none",0,_xlpm.a="moderate",1,_xlpm.a="strong",2),
_xlpm.y,_xlfn.IFS(_xlpm.b="0",0,_xlpm.b="none",0,_xlpm.b="moderate",1,_xlpm.b="strong",2),
_xlpm.d,ABS(_xlpm.x-_xlpm.y),
IF(_xlpm.d=0,"green",IF(_xlpm.d=1,"orange",IF(_xlpm.d=2,"red","check")))
)</f>
        <v>green</v>
      </c>
      <c r="EA17" s="1" t="str">
        <f t="array" ref="EA17">_xlfn.LET(
_xlpm.a,LOWER(TRIM(DU17&amp;"")),
_xlpm.b,LOWER(TRIM(DV17&amp;"")),
_xlpm.x,_xlfn.IFS(_xlpm.a="0",0,_xlpm.a="none",0,_xlpm.a="moderate",1,_xlpm.a="strong",2),
_xlpm.y,_xlfn.IFS(_xlpm.b="0",0,_xlpm.b="none",0,_xlpm.b="moderate",1,_xlpm.b="strong",2),
_xlpm.d,ABS(_xlpm.x-_xlpm.y),
IF(_xlpm.d=0,"green",IF(_xlpm.d=1,"orange",IF(_xlpm.d=2,"red","check")))
)</f>
        <v>green</v>
      </c>
      <c r="EB17" s="1" t="str">
        <f t="array" ref="EB17">_xlfn.LET(
_xlpm.a,LOWER(TRIM(DW17&amp;"")),
_xlpm.b,LOWER(TRIM(DX17&amp;"")),
_xlpm.x,_xlfn.IFS(_xlpm.a="0",0,_xlpm.a="none",0,_xlpm.a="moderate",1,_xlpm.a="strong",2),
_xlpm.y,_xlfn.IFS(_xlpm.b="0",0,_xlpm.b="none",0,_xlpm.b="moderate",1,_xlpm.b="strong",2),
_xlpm.d,ABS(_xlpm.x-_xlpm.y),
IF(_xlpm.d=0,"green",IF(_xlpm.d=1,"orange",IF(_xlpm.d=2,"red","check")))
)</f>
        <v>green</v>
      </c>
      <c r="EC17"/>
      <c r="ED17"/>
      <c r="EE17"/>
      <c r="EF17"/>
      <c r="EG17"/>
      <c r="EH17"/>
      <c r="EI17"/>
      <c r="EJ17"/>
      <c r="EK17"/>
      <c r="EL17"/>
      <c r="EM17"/>
      <c r="EN17"/>
      <c r="EO17"/>
      <c r="EP17"/>
      <c r="EQ17"/>
      <c r="ER17"/>
      <c r="ES17" s="58" t="str">
        <f t="shared" si="8"/>
        <v/>
      </c>
      <c r="ET17" s="58" t="str">
        <f t="shared" si="9"/>
        <v>No</v>
      </c>
      <c r="EU17" s="59" t="str">
        <f t="shared" si="15"/>
        <v>Uninformative</v>
      </c>
      <c r="EV17" s="59" t="str">
        <f t="shared" si="16"/>
        <v>Uninformative</v>
      </c>
      <c r="EW17" s="59" t="str">
        <f t="shared" si="10"/>
        <v>Uninformative</v>
      </c>
      <c r="EX17" s="58" t="str">
        <f t="shared" si="11"/>
        <v>Uninformative</v>
      </c>
      <c r="EY17" s="58" t="str">
        <f t="shared" si="12"/>
        <v>Uninformative</v>
      </c>
      <c r="EZ17" s="58" t="str">
        <f t="shared" si="13"/>
        <v>Uninformative</v>
      </c>
      <c r="FA17" s="58" t="str">
        <f t="shared" si="14"/>
        <v>No</v>
      </c>
      <c r="FB17" s="34"/>
      <c r="FC17" s="34"/>
      <c r="FD17" s="34"/>
      <c r="FE17" s="34"/>
      <c r="FF17" s="34"/>
      <c r="FG17" s="34"/>
      <c r="FH17" s="34"/>
    </row>
    <row r="18" spans="1:164" ht="20" customHeight="1">
      <c r="A18" s="32"/>
      <c r="B18" s="32"/>
      <c r="C18" s="32"/>
      <c r="D18" s="32"/>
      <c r="E18" s="32"/>
      <c r="F18" s="32"/>
      <c r="G18" s="32"/>
      <c r="H18" s="32"/>
      <c r="I18" s="32"/>
      <c r="J18" s="32"/>
      <c r="K18" s="32"/>
      <c r="L18" s="32"/>
      <c r="M18" s="32"/>
      <c r="N18" s="32"/>
      <c r="O18" s="32"/>
      <c r="P18" s="32"/>
      <c r="Q18" s="32"/>
      <c r="R18" s="32"/>
      <c r="S18" s="32"/>
      <c r="T18" s="32"/>
      <c r="U18" s="32"/>
      <c r="V18" s="32"/>
      <c r="W18" s="32"/>
      <c r="X18"/>
      <c r="Y18"/>
      <c r="Z18"/>
      <c r="AA18"/>
      <c r="AB18"/>
      <c r="AC18"/>
      <c r="AD18"/>
      <c r="AE18"/>
      <c r="AG18"/>
      <c r="AH18"/>
      <c r="AI18"/>
      <c r="AJ18"/>
      <c r="AK18"/>
      <c r="AL18"/>
      <c r="AM18"/>
      <c r="AN18"/>
      <c r="AO18"/>
      <c r="AP18"/>
      <c r="AQ18"/>
      <c r="AR18"/>
      <c r="AS18"/>
      <c r="AT18"/>
      <c r="AU18"/>
      <c r="AV18"/>
      <c r="AW18"/>
      <c r="AX18"/>
      <c r="AY18"/>
      <c r="AZ18"/>
      <c r="BA18"/>
      <c r="BB18"/>
      <c r="BC18"/>
      <c r="BD18"/>
      <c r="BE18"/>
      <c r="BF18"/>
      <c r="BG18"/>
      <c r="BH18"/>
      <c r="BI18"/>
      <c r="BJ18"/>
      <c r="BK18"/>
      <c r="BL18"/>
      <c r="BQ18"/>
      <c r="BR18"/>
      <c r="BS18"/>
      <c r="BT18"/>
      <c r="BU18"/>
      <c r="BV18"/>
      <c r="BW18"/>
      <c r="BX18"/>
      <c r="BY18"/>
      <c r="BZ18"/>
      <c r="CB18"/>
      <c r="CC18"/>
      <c r="CD18"/>
      <c r="CF18"/>
      <c r="CG18"/>
      <c r="CH18"/>
      <c r="CJ18"/>
      <c r="CK18"/>
      <c r="CL18"/>
      <c r="CM18"/>
      <c r="CN18"/>
      <c r="CP18"/>
      <c r="CQ18"/>
      <c r="CR18"/>
      <c r="CS18"/>
      <c r="CT18"/>
      <c r="CU18"/>
      <c r="CV18"/>
      <c r="CW18"/>
      <c r="CX18"/>
      <c r="CY18"/>
      <c r="CZ18"/>
      <c r="DA18"/>
      <c r="DB18"/>
      <c r="DC18"/>
      <c r="DD18"/>
      <c r="DE18"/>
      <c r="DF18"/>
      <c r="DG18"/>
      <c r="DH18"/>
      <c r="DI18"/>
      <c r="DJ18"/>
      <c r="DK18"/>
      <c r="DL18"/>
      <c r="DM18"/>
      <c r="DN18"/>
      <c r="DO18"/>
      <c r="DP18"/>
      <c r="DQ18" s="1">
        <f t="shared" si="0"/>
        <v>0</v>
      </c>
      <c r="DR18" s="1">
        <f t="shared" si="1"/>
        <v>0</v>
      </c>
      <c r="DS18" s="1">
        <f t="shared" si="2"/>
        <v>0</v>
      </c>
      <c r="DT18" s="1">
        <f t="shared" si="3"/>
        <v>0</v>
      </c>
      <c r="DU18" s="1">
        <f t="shared" si="4"/>
        <v>0</v>
      </c>
      <c r="DV18" s="1">
        <f t="shared" si="5"/>
        <v>0</v>
      </c>
      <c r="DW18" s="1">
        <f t="shared" si="6"/>
        <v>0</v>
      </c>
      <c r="DX18" s="1">
        <f t="shared" si="7"/>
        <v>0</v>
      </c>
      <c r="DY18" s="1" t="str">
        <f t="array" ref="DY18">_xlfn.LET(
_xlpm.a,LOWER(TRIM(DQ18&amp;"")),
_xlpm.b,LOWER(TRIM(DR18&amp;"")),
_xlpm.x,_xlfn.IFS(_xlpm.a="0",0,_xlpm.a="none",0,_xlpm.a="moderate",1,_xlpm.a="strong",2),
_xlpm.y,_xlfn.IFS(_xlpm.b="0",0,_xlpm.b="none",0,_xlpm.b="moderate",1,_xlpm.b="strong",2),
_xlpm.d,ABS(_xlpm.x-_xlpm.y),
IF(_xlpm.d=0,"green",IF(_xlpm.d=1,"orange",IF(_xlpm.d=2,"red","check")))
)</f>
        <v>green</v>
      </c>
      <c r="DZ18" s="1" t="str">
        <f t="array" ref="DZ18">_xlfn.LET(
_xlpm.a,LOWER(TRIM(DS18&amp;"")),
_xlpm.b,LOWER(TRIM(DT18&amp;"")),
_xlpm.x,_xlfn.IFS(_xlpm.a="0",0,_xlpm.a="none",0,_xlpm.a="moderate",1,_xlpm.a="strong",2),
_xlpm.y,_xlfn.IFS(_xlpm.b="0",0,_xlpm.b="none",0,_xlpm.b="moderate",1,_xlpm.b="strong",2),
_xlpm.d,ABS(_xlpm.x-_xlpm.y),
IF(_xlpm.d=0,"green",IF(_xlpm.d=1,"orange",IF(_xlpm.d=2,"red","check")))
)</f>
        <v>green</v>
      </c>
      <c r="EA18" s="1" t="str">
        <f t="array" ref="EA18">_xlfn.LET(
_xlpm.a,LOWER(TRIM(DU18&amp;"")),
_xlpm.b,LOWER(TRIM(DV18&amp;"")),
_xlpm.x,_xlfn.IFS(_xlpm.a="0",0,_xlpm.a="none",0,_xlpm.a="moderate",1,_xlpm.a="strong",2),
_xlpm.y,_xlfn.IFS(_xlpm.b="0",0,_xlpm.b="none",0,_xlpm.b="moderate",1,_xlpm.b="strong",2),
_xlpm.d,ABS(_xlpm.x-_xlpm.y),
IF(_xlpm.d=0,"green",IF(_xlpm.d=1,"orange",IF(_xlpm.d=2,"red","check")))
)</f>
        <v>green</v>
      </c>
      <c r="EB18" s="1" t="str">
        <f t="array" ref="EB18">_xlfn.LET(
_xlpm.a,LOWER(TRIM(DW18&amp;"")),
_xlpm.b,LOWER(TRIM(DX18&amp;"")),
_xlpm.x,_xlfn.IFS(_xlpm.a="0",0,_xlpm.a="none",0,_xlpm.a="moderate",1,_xlpm.a="strong",2),
_xlpm.y,_xlfn.IFS(_xlpm.b="0",0,_xlpm.b="none",0,_xlpm.b="moderate",1,_xlpm.b="strong",2),
_xlpm.d,ABS(_xlpm.x-_xlpm.y),
IF(_xlpm.d=0,"green",IF(_xlpm.d=1,"orange",IF(_xlpm.d=2,"red","check")))
)</f>
        <v>green</v>
      </c>
      <c r="EC18"/>
      <c r="ED18"/>
      <c r="EE18"/>
      <c r="EF18"/>
      <c r="EG18"/>
      <c r="EH18"/>
      <c r="EI18"/>
      <c r="EJ18"/>
      <c r="EK18"/>
      <c r="EL18"/>
      <c r="EM18"/>
      <c r="EN18"/>
      <c r="EO18"/>
      <c r="EP18"/>
      <c r="EQ18"/>
      <c r="ER18"/>
      <c r="ES18" s="58" t="str">
        <f t="shared" si="8"/>
        <v/>
      </c>
      <c r="ET18" s="58" t="str">
        <f t="shared" si="9"/>
        <v>No</v>
      </c>
      <c r="EU18" s="59" t="str">
        <f t="shared" si="15"/>
        <v>Uninformative</v>
      </c>
      <c r="EV18" s="59" t="str">
        <f t="shared" si="16"/>
        <v>Uninformative</v>
      </c>
      <c r="EW18" s="59" t="str">
        <f t="shared" si="10"/>
        <v>Uninformative</v>
      </c>
      <c r="EX18" s="58" t="str">
        <f t="shared" si="11"/>
        <v>Uninformative</v>
      </c>
      <c r="EY18" s="58" t="str">
        <f t="shared" si="12"/>
        <v>Uninformative</v>
      </c>
      <c r="EZ18" s="58" t="str">
        <f t="shared" si="13"/>
        <v>Uninformative</v>
      </c>
      <c r="FA18" s="58" t="str">
        <f t="shared" si="14"/>
        <v>No</v>
      </c>
      <c r="FB18" s="34"/>
      <c r="FC18" s="34"/>
      <c r="FD18" s="34"/>
      <c r="FE18" s="34"/>
      <c r="FF18" s="34"/>
      <c r="FG18" s="34"/>
      <c r="FH18" s="34"/>
    </row>
    <row r="19" spans="1:164" ht="20" customHeight="1">
      <c r="A19" s="32"/>
      <c r="B19" s="32"/>
      <c r="C19" s="32"/>
      <c r="D19" s="32"/>
      <c r="E19" s="32"/>
      <c r="F19" s="32"/>
      <c r="G19" s="32"/>
      <c r="H19" s="32"/>
      <c r="I19" s="32"/>
      <c r="J19" s="32"/>
      <c r="K19" s="32"/>
      <c r="L19" s="32"/>
      <c r="M19" s="32"/>
      <c r="N19" s="32"/>
      <c r="O19" s="32"/>
      <c r="P19" s="32"/>
      <c r="Q19" s="32"/>
      <c r="R19" s="32"/>
      <c r="S19" s="32"/>
      <c r="T19" s="32"/>
      <c r="U19" s="32"/>
      <c r="V19" s="32"/>
      <c r="W19" s="32"/>
      <c r="X19"/>
      <c r="Y19"/>
      <c r="Z19"/>
      <c r="AA19"/>
      <c r="AB19"/>
      <c r="AC19"/>
      <c r="AD19"/>
      <c r="AE19"/>
      <c r="AG19"/>
      <c r="AH19"/>
      <c r="AI19"/>
      <c r="AJ19"/>
      <c r="AK19"/>
      <c r="AL19"/>
      <c r="AM19"/>
      <c r="AN19"/>
      <c r="AO19"/>
      <c r="AP19"/>
      <c r="AQ19"/>
      <c r="AR19"/>
      <c r="AS19"/>
      <c r="AT19"/>
      <c r="AU19"/>
      <c r="AV19"/>
      <c r="AW19"/>
      <c r="AX19"/>
      <c r="AY19"/>
      <c r="AZ19"/>
      <c r="BA19"/>
      <c r="BB19"/>
      <c r="BC19"/>
      <c r="BD19"/>
      <c r="BE19"/>
      <c r="BF19"/>
      <c r="BG19"/>
      <c r="BH19"/>
      <c r="BI19"/>
      <c r="BJ19"/>
      <c r="BK19"/>
      <c r="BL19"/>
      <c r="BQ19"/>
      <c r="BR19"/>
      <c r="BS19"/>
      <c r="BT19"/>
      <c r="BU19"/>
      <c r="BV19"/>
      <c r="BW19"/>
      <c r="BX19"/>
      <c r="BY19"/>
      <c r="BZ19"/>
      <c r="CB19"/>
      <c r="CC19"/>
      <c r="CD19"/>
      <c r="CF19"/>
      <c r="CG19"/>
      <c r="CH19"/>
      <c r="CJ19"/>
      <c r="CK19"/>
      <c r="CL19"/>
      <c r="CM19"/>
      <c r="CN19"/>
      <c r="CP19"/>
      <c r="CQ19"/>
      <c r="CR19"/>
      <c r="CS19"/>
      <c r="CT19"/>
      <c r="CU19"/>
      <c r="CV19"/>
      <c r="CW19"/>
      <c r="CX19"/>
      <c r="CY19"/>
      <c r="CZ19"/>
      <c r="DA19"/>
      <c r="DB19"/>
      <c r="DC19"/>
      <c r="DD19"/>
      <c r="DE19"/>
      <c r="DF19"/>
      <c r="DG19"/>
      <c r="DH19"/>
      <c r="DI19"/>
      <c r="DJ19"/>
      <c r="DK19"/>
      <c r="DL19"/>
      <c r="DM19"/>
      <c r="DN19"/>
      <c r="DO19"/>
      <c r="DP19"/>
      <c r="DQ19" s="1">
        <f t="shared" si="0"/>
        <v>0</v>
      </c>
      <c r="DR19" s="1">
        <f t="shared" si="1"/>
        <v>0</v>
      </c>
      <c r="DS19" s="1">
        <f t="shared" si="2"/>
        <v>0</v>
      </c>
      <c r="DT19" s="1">
        <f t="shared" si="3"/>
        <v>0</v>
      </c>
      <c r="DU19" s="1">
        <f t="shared" si="4"/>
        <v>0</v>
      </c>
      <c r="DV19" s="1">
        <f t="shared" si="5"/>
        <v>0</v>
      </c>
      <c r="DW19" s="1">
        <f t="shared" si="6"/>
        <v>0</v>
      </c>
      <c r="DX19" s="1">
        <f t="shared" si="7"/>
        <v>0</v>
      </c>
      <c r="DY19" s="1" t="str">
        <f t="array" ref="DY19">_xlfn.LET(
_xlpm.a,LOWER(TRIM(DQ19&amp;"")),
_xlpm.b,LOWER(TRIM(DR19&amp;"")),
_xlpm.x,_xlfn.IFS(_xlpm.a="0",0,_xlpm.a="none",0,_xlpm.a="moderate",1,_xlpm.a="strong",2),
_xlpm.y,_xlfn.IFS(_xlpm.b="0",0,_xlpm.b="none",0,_xlpm.b="moderate",1,_xlpm.b="strong",2),
_xlpm.d,ABS(_xlpm.x-_xlpm.y),
IF(_xlpm.d=0,"green",IF(_xlpm.d=1,"orange",IF(_xlpm.d=2,"red","check")))
)</f>
        <v>green</v>
      </c>
      <c r="DZ19" s="1" t="str">
        <f t="array" ref="DZ19">_xlfn.LET(
_xlpm.a,LOWER(TRIM(DS19&amp;"")),
_xlpm.b,LOWER(TRIM(DT19&amp;"")),
_xlpm.x,_xlfn.IFS(_xlpm.a="0",0,_xlpm.a="none",0,_xlpm.a="moderate",1,_xlpm.a="strong",2),
_xlpm.y,_xlfn.IFS(_xlpm.b="0",0,_xlpm.b="none",0,_xlpm.b="moderate",1,_xlpm.b="strong",2),
_xlpm.d,ABS(_xlpm.x-_xlpm.y),
IF(_xlpm.d=0,"green",IF(_xlpm.d=1,"orange",IF(_xlpm.d=2,"red","check")))
)</f>
        <v>green</v>
      </c>
      <c r="EA19" s="1" t="str">
        <f t="array" ref="EA19">_xlfn.LET(
_xlpm.a,LOWER(TRIM(DU19&amp;"")),
_xlpm.b,LOWER(TRIM(DV19&amp;"")),
_xlpm.x,_xlfn.IFS(_xlpm.a="0",0,_xlpm.a="none",0,_xlpm.a="moderate",1,_xlpm.a="strong",2),
_xlpm.y,_xlfn.IFS(_xlpm.b="0",0,_xlpm.b="none",0,_xlpm.b="moderate",1,_xlpm.b="strong",2),
_xlpm.d,ABS(_xlpm.x-_xlpm.y),
IF(_xlpm.d=0,"green",IF(_xlpm.d=1,"orange",IF(_xlpm.d=2,"red","check")))
)</f>
        <v>green</v>
      </c>
      <c r="EB19" s="1" t="str">
        <f t="array" ref="EB19">_xlfn.LET(
_xlpm.a,LOWER(TRIM(DW19&amp;"")),
_xlpm.b,LOWER(TRIM(DX19&amp;"")),
_xlpm.x,_xlfn.IFS(_xlpm.a="0",0,_xlpm.a="none",0,_xlpm.a="moderate",1,_xlpm.a="strong",2),
_xlpm.y,_xlfn.IFS(_xlpm.b="0",0,_xlpm.b="none",0,_xlpm.b="moderate",1,_xlpm.b="strong",2),
_xlpm.d,ABS(_xlpm.x-_xlpm.y),
IF(_xlpm.d=0,"green",IF(_xlpm.d=1,"orange",IF(_xlpm.d=2,"red","check")))
)</f>
        <v>green</v>
      </c>
      <c r="EC19"/>
      <c r="ED19"/>
      <c r="EE19"/>
      <c r="EF19"/>
      <c r="EG19"/>
      <c r="EH19"/>
      <c r="EI19"/>
      <c r="EJ19"/>
      <c r="EK19"/>
      <c r="EL19"/>
      <c r="EM19"/>
      <c r="EN19"/>
      <c r="EO19"/>
      <c r="EP19"/>
      <c r="EQ19"/>
      <c r="ER19"/>
      <c r="ES19" s="58" t="str">
        <f t="shared" si="8"/>
        <v/>
      </c>
      <c r="ET19" s="58" t="str">
        <f t="shared" si="9"/>
        <v>No</v>
      </c>
      <c r="EU19" s="59" t="str">
        <f t="shared" si="15"/>
        <v>Uninformative</v>
      </c>
      <c r="EV19" s="59" t="str">
        <f t="shared" si="16"/>
        <v>Uninformative</v>
      </c>
      <c r="EW19" s="59" t="str">
        <f t="shared" si="10"/>
        <v>Uninformative</v>
      </c>
      <c r="EX19" s="58" t="str">
        <f t="shared" si="11"/>
        <v>Uninformative</v>
      </c>
      <c r="EY19" s="58" t="str">
        <f t="shared" si="12"/>
        <v>Uninformative</v>
      </c>
      <c r="EZ19" s="58" t="str">
        <f t="shared" si="13"/>
        <v>Uninformative</v>
      </c>
      <c r="FA19" s="58" t="str">
        <f t="shared" si="14"/>
        <v>No</v>
      </c>
      <c r="FB19" s="34"/>
      <c r="FC19" s="34"/>
      <c r="FD19" s="34"/>
      <c r="FE19" s="34"/>
      <c r="FF19" s="34"/>
      <c r="FG19" s="34"/>
      <c r="FH19" s="34"/>
    </row>
    <row r="20" spans="1:164" ht="20" customHeight="1">
      <c r="A20" s="32"/>
      <c r="B20" s="32"/>
      <c r="C20" s="32"/>
      <c r="D20" s="32"/>
      <c r="E20" s="32"/>
      <c r="F20" s="32"/>
      <c r="G20" s="32"/>
      <c r="H20" s="32"/>
      <c r="I20" s="32"/>
      <c r="J20" s="32"/>
      <c r="K20" s="32"/>
      <c r="L20" s="32"/>
      <c r="M20" s="32"/>
      <c r="N20" s="32"/>
      <c r="O20" s="32"/>
      <c r="P20" s="32"/>
      <c r="Q20" s="32"/>
      <c r="R20" s="32"/>
      <c r="S20" s="32"/>
      <c r="T20" s="32"/>
      <c r="U20" s="32"/>
      <c r="V20" s="32"/>
      <c r="W20" s="32"/>
      <c r="X20"/>
      <c r="Y20"/>
      <c r="Z20"/>
      <c r="AA20"/>
      <c r="AB20"/>
      <c r="AC20"/>
      <c r="AD20"/>
      <c r="AG20"/>
      <c r="AH20"/>
      <c r="AI20"/>
      <c r="AJ20"/>
      <c r="AK20"/>
      <c r="AL20"/>
      <c r="AM20"/>
      <c r="AN20"/>
      <c r="AO20"/>
      <c r="AP20"/>
      <c r="AQ20"/>
      <c r="AR20"/>
      <c r="AS20"/>
      <c r="AT20"/>
      <c r="AU20"/>
      <c r="AV20"/>
      <c r="AW20"/>
      <c r="AX20"/>
      <c r="AY20"/>
      <c r="AZ20"/>
      <c r="BU20"/>
      <c r="BV20"/>
      <c r="BW20"/>
      <c r="BX20"/>
      <c r="BY20"/>
      <c r="BZ20"/>
      <c r="CB20"/>
      <c r="CC20"/>
      <c r="CD20"/>
      <c r="CF20"/>
      <c r="CG20"/>
      <c r="CH20"/>
      <c r="CJ20"/>
      <c r="CK20"/>
      <c r="CQ20"/>
      <c r="CR20"/>
      <c r="CS20"/>
      <c r="CT20"/>
      <c r="CU20"/>
      <c r="CV20"/>
      <c r="CW20"/>
      <c r="CX20"/>
      <c r="CY20"/>
      <c r="CZ20"/>
      <c r="DA20"/>
      <c r="DB20"/>
      <c r="DC20"/>
      <c r="DD20"/>
      <c r="DE20"/>
      <c r="DF20"/>
      <c r="DG20"/>
      <c r="DH20"/>
      <c r="DI20"/>
      <c r="DJ20"/>
      <c r="DK20"/>
      <c r="DL20"/>
      <c r="DM20"/>
      <c r="DN20"/>
      <c r="DO20"/>
      <c r="DP20"/>
      <c r="DQ20" s="1">
        <f t="shared" si="0"/>
        <v>0</v>
      </c>
      <c r="DR20" s="1">
        <f t="shared" si="1"/>
        <v>0</v>
      </c>
      <c r="DS20" s="1">
        <f t="shared" si="2"/>
        <v>0</v>
      </c>
      <c r="DT20" s="1">
        <f t="shared" si="3"/>
        <v>0</v>
      </c>
      <c r="DU20" s="1">
        <f t="shared" si="4"/>
        <v>0</v>
      </c>
      <c r="DV20" s="1">
        <f t="shared" si="5"/>
        <v>0</v>
      </c>
      <c r="DW20" s="1">
        <f t="shared" si="6"/>
        <v>0</v>
      </c>
      <c r="DX20" s="1">
        <f t="shared" si="7"/>
        <v>0</v>
      </c>
      <c r="DY20" s="1" t="str">
        <f t="array" ref="DY20">_xlfn.LET(
_xlpm.a,LOWER(TRIM(DQ20&amp;"")),
_xlpm.b,LOWER(TRIM(DR20&amp;"")),
_xlpm.x,_xlfn.IFS(_xlpm.a="0",0,_xlpm.a="none",0,_xlpm.a="moderate",1,_xlpm.a="strong",2),
_xlpm.y,_xlfn.IFS(_xlpm.b="0",0,_xlpm.b="none",0,_xlpm.b="moderate",1,_xlpm.b="strong",2),
_xlpm.d,ABS(_xlpm.x-_xlpm.y),
IF(_xlpm.d=0,"green",IF(_xlpm.d=1,"orange",IF(_xlpm.d=2,"red","check")))
)</f>
        <v>green</v>
      </c>
      <c r="DZ20" s="1" t="str">
        <f t="array" ref="DZ20">_xlfn.LET(
_xlpm.a,LOWER(TRIM(DS20&amp;"")),
_xlpm.b,LOWER(TRIM(DT20&amp;"")),
_xlpm.x,_xlfn.IFS(_xlpm.a="0",0,_xlpm.a="none",0,_xlpm.a="moderate",1,_xlpm.a="strong",2),
_xlpm.y,_xlfn.IFS(_xlpm.b="0",0,_xlpm.b="none",0,_xlpm.b="moderate",1,_xlpm.b="strong",2),
_xlpm.d,ABS(_xlpm.x-_xlpm.y),
IF(_xlpm.d=0,"green",IF(_xlpm.d=1,"orange",IF(_xlpm.d=2,"red","check")))
)</f>
        <v>green</v>
      </c>
      <c r="EA20" s="1" t="str">
        <f t="array" ref="EA20">_xlfn.LET(
_xlpm.a,LOWER(TRIM(DU20&amp;"")),
_xlpm.b,LOWER(TRIM(DV20&amp;"")),
_xlpm.x,_xlfn.IFS(_xlpm.a="0",0,_xlpm.a="none",0,_xlpm.a="moderate",1,_xlpm.a="strong",2),
_xlpm.y,_xlfn.IFS(_xlpm.b="0",0,_xlpm.b="none",0,_xlpm.b="moderate",1,_xlpm.b="strong",2),
_xlpm.d,ABS(_xlpm.x-_xlpm.y),
IF(_xlpm.d=0,"green",IF(_xlpm.d=1,"orange",IF(_xlpm.d=2,"red","check")))
)</f>
        <v>green</v>
      </c>
      <c r="EB20" s="1" t="str">
        <f t="array" ref="EB20">_xlfn.LET(
_xlpm.a,LOWER(TRIM(DW20&amp;"")),
_xlpm.b,LOWER(TRIM(DX20&amp;"")),
_xlpm.x,_xlfn.IFS(_xlpm.a="0",0,_xlpm.a="none",0,_xlpm.a="moderate",1,_xlpm.a="strong",2),
_xlpm.y,_xlfn.IFS(_xlpm.b="0",0,_xlpm.b="none",0,_xlpm.b="moderate",1,_xlpm.b="strong",2),
_xlpm.d,ABS(_xlpm.x-_xlpm.y),
IF(_xlpm.d=0,"green",IF(_xlpm.d=1,"orange",IF(_xlpm.d=2,"red","check")))
)</f>
        <v>green</v>
      </c>
      <c r="EC20"/>
      <c r="ED20"/>
      <c r="EE20"/>
      <c r="EF20"/>
      <c r="EG20"/>
      <c r="EH20"/>
      <c r="EI20"/>
      <c r="EJ20"/>
      <c r="EK20"/>
      <c r="EL20"/>
      <c r="EM20"/>
      <c r="EN20"/>
      <c r="EO20"/>
      <c r="EP20"/>
      <c r="EQ20"/>
      <c r="ER20"/>
      <c r="ES20" s="58" t="str">
        <f t="shared" si="8"/>
        <v/>
      </c>
      <c r="ET20" s="58" t="str">
        <f t="shared" si="9"/>
        <v>No</v>
      </c>
      <c r="EU20" s="59" t="str">
        <f t="shared" si="15"/>
        <v>Uninformative</v>
      </c>
      <c r="EV20" s="59" t="str">
        <f t="shared" si="16"/>
        <v>Uninformative</v>
      </c>
      <c r="EW20" s="59" t="str">
        <f t="shared" si="10"/>
        <v>Uninformative</v>
      </c>
      <c r="EX20" s="58" t="str">
        <f t="shared" si="11"/>
        <v>Uninformative</v>
      </c>
      <c r="EY20" s="58" t="str">
        <f t="shared" si="12"/>
        <v>Uninformative</v>
      </c>
      <c r="EZ20" s="58" t="str">
        <f t="shared" si="13"/>
        <v>Uninformative</v>
      </c>
      <c r="FA20" s="58" t="str">
        <f t="shared" si="14"/>
        <v>No</v>
      </c>
      <c r="FB20" s="34"/>
      <c r="FC20" s="34"/>
      <c r="FD20" s="34"/>
      <c r="FE20" s="34"/>
      <c r="FF20" s="34"/>
      <c r="FG20" s="34"/>
      <c r="FH20" s="34"/>
    </row>
    <row r="21" spans="1:164" ht="20" customHeight="1">
      <c r="A21" s="32"/>
      <c r="B21" s="32"/>
      <c r="C21" s="32"/>
      <c r="D21" s="32"/>
      <c r="E21" s="32"/>
      <c r="F21" s="32"/>
      <c r="G21" s="32"/>
      <c r="H21" s="32"/>
      <c r="I21" s="32"/>
      <c r="J21" s="32"/>
      <c r="K21" s="32"/>
      <c r="L21" s="32"/>
      <c r="M21" s="32"/>
      <c r="N21" s="32"/>
      <c r="O21" s="32"/>
      <c r="P21" s="32"/>
      <c r="Q21" s="32"/>
      <c r="R21" s="32"/>
      <c r="S21" s="32"/>
      <c r="T21" s="32"/>
      <c r="U21" s="32"/>
      <c r="V21" s="32"/>
      <c r="W21" s="32"/>
      <c r="X21"/>
      <c r="Y21"/>
      <c r="Z21"/>
      <c r="AA21"/>
      <c r="AB21"/>
      <c r="AC21"/>
      <c r="AD21"/>
      <c r="AE21"/>
      <c r="AG21"/>
      <c r="AH21"/>
      <c r="AI21"/>
      <c r="AJ21"/>
      <c r="AK21"/>
      <c r="AL21"/>
      <c r="AM21"/>
      <c r="AN21"/>
      <c r="AO21"/>
      <c r="AP21"/>
      <c r="AQ21"/>
      <c r="AR21"/>
      <c r="AS21"/>
      <c r="AT21"/>
      <c r="AU21"/>
      <c r="AV21"/>
      <c r="AW21"/>
      <c r="AX21"/>
      <c r="AY21"/>
      <c r="AZ21"/>
      <c r="BA21"/>
      <c r="BB21"/>
      <c r="BC21"/>
      <c r="BD21"/>
      <c r="BE21"/>
      <c r="BF21"/>
      <c r="BG21"/>
      <c r="BH21"/>
      <c r="BI21"/>
      <c r="BJ21"/>
      <c r="BK21"/>
      <c r="BL21"/>
      <c r="BQ21"/>
      <c r="BR21"/>
      <c r="BS21"/>
      <c r="BT21"/>
      <c r="BU21"/>
      <c r="BV21"/>
      <c r="BW21"/>
      <c r="BX21"/>
      <c r="BY21"/>
      <c r="BZ21"/>
      <c r="CB21"/>
      <c r="CC21"/>
      <c r="CD21"/>
      <c r="CF21"/>
      <c r="CG21"/>
      <c r="CH21"/>
      <c r="CJ21"/>
      <c r="CK21"/>
      <c r="CL21"/>
      <c r="CM21"/>
      <c r="CN21"/>
      <c r="CP21"/>
      <c r="CQ21"/>
      <c r="CR21"/>
      <c r="CS21"/>
      <c r="CT21"/>
      <c r="CU21"/>
      <c r="CV21"/>
      <c r="CW21"/>
      <c r="CX21"/>
      <c r="CY21"/>
      <c r="CZ21"/>
      <c r="DA21"/>
      <c r="DB21"/>
      <c r="DC21"/>
      <c r="DD21"/>
      <c r="DE21"/>
      <c r="DF21"/>
      <c r="DG21"/>
      <c r="DH21"/>
      <c r="DI21"/>
      <c r="DJ21"/>
      <c r="DK21"/>
      <c r="DL21"/>
      <c r="DM21"/>
      <c r="DN21"/>
      <c r="DO21"/>
      <c r="DP21"/>
      <c r="DQ21" s="1">
        <f t="shared" si="0"/>
        <v>0</v>
      </c>
      <c r="DR21" s="1">
        <f t="shared" si="1"/>
        <v>0</v>
      </c>
      <c r="DS21" s="1">
        <f t="shared" si="2"/>
        <v>0</v>
      </c>
      <c r="DT21" s="1">
        <f t="shared" si="3"/>
        <v>0</v>
      </c>
      <c r="DU21" s="1">
        <f t="shared" si="4"/>
        <v>0</v>
      </c>
      <c r="DV21" s="1">
        <f t="shared" si="5"/>
        <v>0</v>
      </c>
      <c r="DW21" s="1">
        <f t="shared" si="6"/>
        <v>0</v>
      </c>
      <c r="DX21" s="1">
        <f t="shared" si="7"/>
        <v>0</v>
      </c>
      <c r="DY21" s="1" t="str">
        <f t="array" ref="DY21">_xlfn.LET(
_xlpm.a,LOWER(TRIM(DQ21&amp;"")),
_xlpm.b,LOWER(TRIM(DR21&amp;"")),
_xlpm.x,_xlfn.IFS(_xlpm.a="0",0,_xlpm.a="none",0,_xlpm.a="moderate",1,_xlpm.a="strong",2),
_xlpm.y,_xlfn.IFS(_xlpm.b="0",0,_xlpm.b="none",0,_xlpm.b="moderate",1,_xlpm.b="strong",2),
_xlpm.d,ABS(_xlpm.x-_xlpm.y),
IF(_xlpm.d=0,"green",IF(_xlpm.d=1,"orange",IF(_xlpm.d=2,"red","check")))
)</f>
        <v>green</v>
      </c>
      <c r="DZ21" s="1" t="str">
        <f t="array" ref="DZ21">_xlfn.LET(
_xlpm.a,LOWER(TRIM(DS21&amp;"")),
_xlpm.b,LOWER(TRIM(DT21&amp;"")),
_xlpm.x,_xlfn.IFS(_xlpm.a="0",0,_xlpm.a="none",0,_xlpm.a="moderate",1,_xlpm.a="strong",2),
_xlpm.y,_xlfn.IFS(_xlpm.b="0",0,_xlpm.b="none",0,_xlpm.b="moderate",1,_xlpm.b="strong",2),
_xlpm.d,ABS(_xlpm.x-_xlpm.y),
IF(_xlpm.d=0,"green",IF(_xlpm.d=1,"orange",IF(_xlpm.d=2,"red","check")))
)</f>
        <v>green</v>
      </c>
      <c r="EA21" s="1" t="str">
        <f t="array" ref="EA21">_xlfn.LET(
_xlpm.a,LOWER(TRIM(DU21&amp;"")),
_xlpm.b,LOWER(TRIM(DV21&amp;"")),
_xlpm.x,_xlfn.IFS(_xlpm.a="0",0,_xlpm.a="none",0,_xlpm.a="moderate",1,_xlpm.a="strong",2),
_xlpm.y,_xlfn.IFS(_xlpm.b="0",0,_xlpm.b="none",0,_xlpm.b="moderate",1,_xlpm.b="strong",2),
_xlpm.d,ABS(_xlpm.x-_xlpm.y),
IF(_xlpm.d=0,"green",IF(_xlpm.d=1,"orange",IF(_xlpm.d=2,"red","check")))
)</f>
        <v>green</v>
      </c>
      <c r="EB21" s="1" t="str">
        <f t="array" ref="EB21">_xlfn.LET(
_xlpm.a,LOWER(TRIM(DW21&amp;"")),
_xlpm.b,LOWER(TRIM(DX21&amp;"")),
_xlpm.x,_xlfn.IFS(_xlpm.a="0",0,_xlpm.a="none",0,_xlpm.a="moderate",1,_xlpm.a="strong",2),
_xlpm.y,_xlfn.IFS(_xlpm.b="0",0,_xlpm.b="none",0,_xlpm.b="moderate",1,_xlpm.b="strong",2),
_xlpm.d,ABS(_xlpm.x-_xlpm.y),
IF(_xlpm.d=0,"green",IF(_xlpm.d=1,"orange",IF(_xlpm.d=2,"red","check")))
)</f>
        <v>green</v>
      </c>
      <c r="EC21"/>
      <c r="ED21"/>
      <c r="EE21"/>
      <c r="EF21"/>
      <c r="EG21"/>
      <c r="EH21"/>
      <c r="EI21"/>
      <c r="EJ21"/>
      <c r="EK21"/>
      <c r="EL21"/>
      <c r="EM21"/>
      <c r="EN21"/>
      <c r="EO21"/>
      <c r="EP21"/>
      <c r="EQ21"/>
      <c r="ER21"/>
      <c r="ES21" s="58" t="str">
        <f t="shared" si="8"/>
        <v/>
      </c>
      <c r="ET21" s="58" t="str">
        <f t="shared" si="9"/>
        <v>No</v>
      </c>
      <c r="EU21" s="59" t="str">
        <f t="shared" si="15"/>
        <v>Uninformative</v>
      </c>
      <c r="EV21" s="59" t="str">
        <f t="shared" si="16"/>
        <v>Uninformative</v>
      </c>
      <c r="EW21" s="59" t="str">
        <f t="shared" si="10"/>
        <v>Uninformative</v>
      </c>
      <c r="EX21" s="58" t="str">
        <f t="shared" si="11"/>
        <v>Uninformative</v>
      </c>
      <c r="EY21" s="58" t="str">
        <f t="shared" si="12"/>
        <v>Uninformative</v>
      </c>
      <c r="EZ21" s="58" t="str">
        <f t="shared" si="13"/>
        <v>Uninformative</v>
      </c>
      <c r="FA21" s="58" t="str">
        <f t="shared" si="14"/>
        <v>No</v>
      </c>
      <c r="FB21" s="34"/>
      <c r="FC21" s="34"/>
      <c r="FD21" s="34"/>
      <c r="FE21" s="34"/>
      <c r="FF21" s="34"/>
      <c r="FG21" s="34"/>
      <c r="FH21" s="34"/>
    </row>
    <row r="22" spans="1:164" ht="20" customHeight="1">
      <c r="A22" s="32"/>
      <c r="B22" s="32"/>
      <c r="C22" s="32"/>
      <c r="D22" s="32"/>
      <c r="E22" s="32"/>
      <c r="F22" s="32"/>
      <c r="G22" s="32"/>
      <c r="H22" s="32"/>
      <c r="I22" s="32"/>
      <c r="J22" s="32"/>
      <c r="K22" s="32"/>
      <c r="L22" s="32"/>
      <c r="M22" s="32"/>
      <c r="N22" s="32"/>
      <c r="O22" s="32"/>
      <c r="P22" s="32"/>
      <c r="Q22" s="32"/>
      <c r="R22" s="32"/>
      <c r="S22" s="32"/>
      <c r="T22" s="32"/>
      <c r="U22" s="32"/>
      <c r="V22" s="32"/>
      <c r="W22" s="32"/>
      <c r="X22"/>
      <c r="Y22"/>
      <c r="Z22"/>
      <c r="AA22"/>
      <c r="AB22"/>
      <c r="AC22"/>
      <c r="AD22"/>
      <c r="AG22"/>
      <c r="AH22"/>
      <c r="AI22"/>
      <c r="AJ22"/>
      <c r="AK22"/>
      <c r="AL22"/>
      <c r="CZ22"/>
      <c r="DA22"/>
      <c r="DB22" s="16"/>
      <c r="DC22"/>
      <c r="DD22"/>
      <c r="DE22"/>
      <c r="DF22"/>
      <c r="DG22"/>
      <c r="DH22"/>
      <c r="DI22"/>
      <c r="DJ22"/>
      <c r="DK22"/>
      <c r="DL22"/>
      <c r="DM22"/>
      <c r="DN22"/>
      <c r="DO22"/>
      <c r="DP22"/>
      <c r="DQ22" s="1">
        <f t="shared" si="0"/>
        <v>0</v>
      </c>
      <c r="DR22" s="1">
        <f t="shared" si="1"/>
        <v>0</v>
      </c>
      <c r="DS22" s="1">
        <f t="shared" si="2"/>
        <v>0</v>
      </c>
      <c r="DT22" s="1">
        <f t="shared" si="3"/>
        <v>0</v>
      </c>
      <c r="DU22" s="1">
        <f t="shared" si="4"/>
        <v>0</v>
      </c>
      <c r="DV22" s="1">
        <f t="shared" si="5"/>
        <v>0</v>
      </c>
      <c r="DW22" s="1">
        <f t="shared" si="6"/>
        <v>0</v>
      </c>
      <c r="DX22" s="1">
        <f t="shared" si="7"/>
        <v>0</v>
      </c>
      <c r="DY22" s="1" t="str">
        <f t="array" ref="DY22">_xlfn.LET(
_xlpm.a,LOWER(TRIM(DQ22&amp;"")),
_xlpm.b,LOWER(TRIM(DR22&amp;"")),
_xlpm.x,_xlfn.IFS(_xlpm.a="0",0,_xlpm.a="none",0,_xlpm.a="moderate",1,_xlpm.a="strong",2),
_xlpm.y,_xlfn.IFS(_xlpm.b="0",0,_xlpm.b="none",0,_xlpm.b="moderate",1,_xlpm.b="strong",2),
_xlpm.d,ABS(_xlpm.x-_xlpm.y),
IF(_xlpm.d=0,"green",IF(_xlpm.d=1,"orange",IF(_xlpm.d=2,"red","check")))
)</f>
        <v>green</v>
      </c>
      <c r="DZ22" s="1" t="str">
        <f t="array" ref="DZ22">_xlfn.LET(
_xlpm.a,LOWER(TRIM(DS22&amp;"")),
_xlpm.b,LOWER(TRIM(DT22&amp;"")),
_xlpm.x,_xlfn.IFS(_xlpm.a="0",0,_xlpm.a="none",0,_xlpm.a="moderate",1,_xlpm.a="strong",2),
_xlpm.y,_xlfn.IFS(_xlpm.b="0",0,_xlpm.b="none",0,_xlpm.b="moderate",1,_xlpm.b="strong",2),
_xlpm.d,ABS(_xlpm.x-_xlpm.y),
IF(_xlpm.d=0,"green",IF(_xlpm.d=1,"orange",IF(_xlpm.d=2,"red","check")))
)</f>
        <v>green</v>
      </c>
      <c r="EA22" s="1" t="str">
        <f t="array" ref="EA22">_xlfn.LET(
_xlpm.a,LOWER(TRIM(DU22&amp;"")),
_xlpm.b,LOWER(TRIM(DV22&amp;"")),
_xlpm.x,_xlfn.IFS(_xlpm.a="0",0,_xlpm.a="none",0,_xlpm.a="moderate",1,_xlpm.a="strong",2),
_xlpm.y,_xlfn.IFS(_xlpm.b="0",0,_xlpm.b="none",0,_xlpm.b="moderate",1,_xlpm.b="strong",2),
_xlpm.d,ABS(_xlpm.x-_xlpm.y),
IF(_xlpm.d=0,"green",IF(_xlpm.d=1,"orange",IF(_xlpm.d=2,"red","check")))
)</f>
        <v>green</v>
      </c>
      <c r="EB22" s="1" t="str">
        <f t="array" ref="EB22">_xlfn.LET(
_xlpm.a,LOWER(TRIM(DW22&amp;"")),
_xlpm.b,LOWER(TRIM(DX22&amp;"")),
_xlpm.x,_xlfn.IFS(_xlpm.a="0",0,_xlpm.a="none",0,_xlpm.a="moderate",1,_xlpm.a="strong",2),
_xlpm.y,_xlfn.IFS(_xlpm.b="0",0,_xlpm.b="none",0,_xlpm.b="moderate",1,_xlpm.b="strong",2),
_xlpm.d,ABS(_xlpm.x-_xlpm.y),
IF(_xlpm.d=0,"green",IF(_xlpm.d=1,"orange",IF(_xlpm.d=2,"red","check")))
)</f>
        <v>green</v>
      </c>
      <c r="EC22"/>
      <c r="ED22"/>
      <c r="EE22"/>
      <c r="EF22"/>
      <c r="EG22"/>
      <c r="EH22"/>
      <c r="EI22"/>
      <c r="EJ22"/>
      <c r="EK22"/>
      <c r="EL22"/>
      <c r="EM22"/>
      <c r="EN22"/>
      <c r="EO22"/>
      <c r="EP22"/>
      <c r="EQ22"/>
      <c r="ER22"/>
      <c r="ES22" s="58" t="str">
        <f t="shared" si="8"/>
        <v/>
      </c>
      <c r="ET22" s="58" t="str">
        <f t="shared" si="9"/>
        <v>No</v>
      </c>
      <c r="EU22" s="59" t="str">
        <f t="shared" si="15"/>
        <v>Uninformative</v>
      </c>
      <c r="EV22" s="59" t="str">
        <f t="shared" si="16"/>
        <v>Uninformative</v>
      </c>
      <c r="EW22" s="59" t="str">
        <f t="shared" si="10"/>
        <v>Uninformative</v>
      </c>
      <c r="EX22" s="58" t="str">
        <f t="shared" si="11"/>
        <v>Uninformative</v>
      </c>
      <c r="EY22" s="58" t="str">
        <f t="shared" si="12"/>
        <v>Uninformative</v>
      </c>
      <c r="EZ22" s="58" t="str">
        <f t="shared" si="13"/>
        <v>Uninformative</v>
      </c>
      <c r="FA22" s="58" t="str">
        <f t="shared" si="14"/>
        <v>No</v>
      </c>
      <c r="FB22" s="34"/>
      <c r="FC22" s="34"/>
      <c r="FD22" s="34"/>
      <c r="FE22" s="34"/>
      <c r="FF22" s="34"/>
      <c r="FG22" s="34"/>
      <c r="FH22" s="34"/>
    </row>
    <row r="23" spans="1:164" ht="20" customHeight="1">
      <c r="A23" s="32"/>
      <c r="B23" s="32"/>
      <c r="C23" s="32"/>
      <c r="D23" s="32"/>
      <c r="E23" s="32"/>
      <c r="F23" s="32"/>
      <c r="G23" s="32"/>
      <c r="H23" s="32"/>
      <c r="I23" s="32"/>
      <c r="J23" s="32"/>
      <c r="K23" s="32"/>
      <c r="L23" s="32"/>
      <c r="M23" s="32"/>
      <c r="N23" s="32"/>
      <c r="O23" s="32"/>
      <c r="P23" s="32"/>
      <c r="Q23" s="32"/>
      <c r="R23" s="32"/>
      <c r="S23" s="32"/>
      <c r="T23" s="32"/>
      <c r="U23" s="32"/>
      <c r="V23" s="32"/>
      <c r="W23" s="32"/>
      <c r="X23"/>
      <c r="Y23"/>
      <c r="Z23"/>
      <c r="AA23"/>
      <c r="AB23"/>
      <c r="AC23"/>
      <c r="AD23"/>
      <c r="AE23"/>
      <c r="AG23"/>
      <c r="AH23"/>
      <c r="AI23"/>
      <c r="AJ23"/>
      <c r="AK23"/>
      <c r="AL23"/>
      <c r="AM23"/>
      <c r="AN23"/>
      <c r="AO23"/>
      <c r="AP23"/>
      <c r="AQ23"/>
      <c r="AR23"/>
      <c r="AS23"/>
      <c r="AT23"/>
      <c r="AU23"/>
      <c r="AV23"/>
      <c r="AW23"/>
      <c r="AX23"/>
      <c r="AY23"/>
      <c r="AZ23"/>
      <c r="BA23"/>
      <c r="BB23"/>
      <c r="BC23"/>
      <c r="BD23"/>
      <c r="BE23"/>
      <c r="BF23"/>
      <c r="BG23"/>
      <c r="BH23"/>
      <c r="BI23"/>
      <c r="BJ23"/>
      <c r="BK23"/>
      <c r="BL23"/>
      <c r="BQ23"/>
      <c r="BR23"/>
      <c r="BS23"/>
      <c r="BT23"/>
      <c r="BU23"/>
      <c r="BV23"/>
      <c r="BW23"/>
      <c r="BX23"/>
      <c r="BY23"/>
      <c r="BZ23"/>
      <c r="CB23"/>
      <c r="CC23"/>
      <c r="CD23"/>
      <c r="CF23"/>
      <c r="CG23"/>
      <c r="CH23"/>
      <c r="CJ23"/>
      <c r="CK23"/>
      <c r="CL23"/>
      <c r="CM23"/>
      <c r="CN23"/>
      <c r="CP23"/>
      <c r="CQ23"/>
      <c r="CR23"/>
      <c r="CS23" s="16"/>
      <c r="CT23"/>
      <c r="CU23"/>
      <c r="CV23"/>
      <c r="CW23"/>
      <c r="CX23"/>
      <c r="CY23"/>
      <c r="CZ23"/>
      <c r="DA23"/>
      <c r="DB23"/>
      <c r="DC23"/>
      <c r="DD23"/>
      <c r="DE23"/>
      <c r="DF23"/>
      <c r="DG23"/>
      <c r="DH23"/>
      <c r="DI23"/>
      <c r="DJ23"/>
      <c r="DK23"/>
      <c r="DL23"/>
      <c r="DM23"/>
      <c r="DN23"/>
      <c r="DO23"/>
      <c r="DP23"/>
      <c r="DQ23" s="1">
        <f t="shared" si="0"/>
        <v>0</v>
      </c>
      <c r="DR23" s="1">
        <f t="shared" si="1"/>
        <v>0</v>
      </c>
      <c r="DS23" s="1">
        <f t="shared" si="2"/>
        <v>0</v>
      </c>
      <c r="DT23" s="1">
        <f t="shared" si="3"/>
        <v>0</v>
      </c>
      <c r="DU23" s="1">
        <f t="shared" si="4"/>
        <v>0</v>
      </c>
      <c r="DV23" s="1">
        <f t="shared" si="5"/>
        <v>0</v>
      </c>
      <c r="DW23" s="1">
        <f t="shared" si="6"/>
        <v>0</v>
      </c>
      <c r="DX23" s="1">
        <f t="shared" si="7"/>
        <v>0</v>
      </c>
      <c r="DY23" s="1" t="str">
        <f t="array" ref="DY23">_xlfn.LET(
_xlpm.a,LOWER(TRIM(DQ23&amp;"")),
_xlpm.b,LOWER(TRIM(DR23&amp;"")),
_xlpm.x,_xlfn.IFS(_xlpm.a="0",0,_xlpm.a="none",0,_xlpm.a="moderate",1,_xlpm.a="strong",2),
_xlpm.y,_xlfn.IFS(_xlpm.b="0",0,_xlpm.b="none",0,_xlpm.b="moderate",1,_xlpm.b="strong",2),
_xlpm.d,ABS(_xlpm.x-_xlpm.y),
IF(_xlpm.d=0,"green",IF(_xlpm.d=1,"orange",IF(_xlpm.d=2,"red","check")))
)</f>
        <v>green</v>
      </c>
      <c r="DZ23" s="1" t="str">
        <f t="array" ref="DZ23">_xlfn.LET(
_xlpm.a,LOWER(TRIM(DS23&amp;"")),
_xlpm.b,LOWER(TRIM(DT23&amp;"")),
_xlpm.x,_xlfn.IFS(_xlpm.a="0",0,_xlpm.a="none",0,_xlpm.a="moderate",1,_xlpm.a="strong",2),
_xlpm.y,_xlfn.IFS(_xlpm.b="0",0,_xlpm.b="none",0,_xlpm.b="moderate",1,_xlpm.b="strong",2),
_xlpm.d,ABS(_xlpm.x-_xlpm.y),
IF(_xlpm.d=0,"green",IF(_xlpm.d=1,"orange",IF(_xlpm.d=2,"red","check")))
)</f>
        <v>green</v>
      </c>
      <c r="EA23" s="1" t="str">
        <f t="array" ref="EA23">_xlfn.LET(
_xlpm.a,LOWER(TRIM(DU23&amp;"")),
_xlpm.b,LOWER(TRIM(DV23&amp;"")),
_xlpm.x,_xlfn.IFS(_xlpm.a="0",0,_xlpm.a="none",0,_xlpm.a="moderate",1,_xlpm.a="strong",2),
_xlpm.y,_xlfn.IFS(_xlpm.b="0",0,_xlpm.b="none",0,_xlpm.b="moderate",1,_xlpm.b="strong",2),
_xlpm.d,ABS(_xlpm.x-_xlpm.y),
IF(_xlpm.d=0,"green",IF(_xlpm.d=1,"orange",IF(_xlpm.d=2,"red","check")))
)</f>
        <v>green</v>
      </c>
      <c r="EB23" s="1" t="str">
        <f t="array" ref="EB23">_xlfn.LET(
_xlpm.a,LOWER(TRIM(DW23&amp;"")),
_xlpm.b,LOWER(TRIM(DX23&amp;"")),
_xlpm.x,_xlfn.IFS(_xlpm.a="0",0,_xlpm.a="none",0,_xlpm.a="moderate",1,_xlpm.a="strong",2),
_xlpm.y,_xlfn.IFS(_xlpm.b="0",0,_xlpm.b="none",0,_xlpm.b="moderate",1,_xlpm.b="strong",2),
_xlpm.d,ABS(_xlpm.x-_xlpm.y),
IF(_xlpm.d=0,"green",IF(_xlpm.d=1,"orange",IF(_xlpm.d=2,"red","check")))
)</f>
        <v>green</v>
      </c>
      <c r="EC23"/>
      <c r="ED23"/>
      <c r="EE23"/>
      <c r="EF23"/>
      <c r="EG23"/>
      <c r="EH23"/>
      <c r="EI23"/>
      <c r="EJ23"/>
      <c r="EK23"/>
      <c r="EL23"/>
      <c r="EM23"/>
      <c r="EN23"/>
      <c r="EO23"/>
      <c r="EP23"/>
      <c r="EQ23"/>
      <c r="ER23"/>
      <c r="ES23" s="58" t="str">
        <f t="shared" si="8"/>
        <v/>
      </c>
      <c r="ET23" s="58" t="str">
        <f t="shared" si="9"/>
        <v>No</v>
      </c>
      <c r="EU23" s="59" t="str">
        <f t="shared" si="15"/>
        <v>Uninformative</v>
      </c>
      <c r="EV23" s="59" t="str">
        <f t="shared" si="16"/>
        <v>Uninformative</v>
      </c>
      <c r="EW23" s="59" t="str">
        <f t="shared" si="10"/>
        <v>Uninformative</v>
      </c>
      <c r="EX23" s="58" t="str">
        <f t="shared" si="11"/>
        <v>Uninformative</v>
      </c>
      <c r="EY23" s="58" t="str">
        <f t="shared" si="12"/>
        <v>Uninformative</v>
      </c>
      <c r="EZ23" s="58" t="str">
        <f t="shared" si="13"/>
        <v>Uninformative</v>
      </c>
      <c r="FA23" s="58" t="str">
        <f t="shared" si="14"/>
        <v>No</v>
      </c>
      <c r="FB23" s="34"/>
      <c r="FC23" s="34"/>
      <c r="FD23" s="34"/>
      <c r="FE23" s="34"/>
      <c r="FF23" s="34"/>
      <c r="FG23" s="34"/>
      <c r="FH23" s="34"/>
    </row>
    <row r="24" spans="1:164" ht="20" customHeight="1">
      <c r="A24" s="32"/>
      <c r="B24" s="32"/>
      <c r="C24" s="32"/>
      <c r="D24" s="32"/>
      <c r="E24" s="32"/>
      <c r="F24" s="32"/>
      <c r="G24" s="32"/>
      <c r="H24" s="32"/>
      <c r="I24" s="32"/>
      <c r="J24" s="32"/>
      <c r="K24" s="32"/>
      <c r="L24" s="32"/>
      <c r="M24" s="32"/>
      <c r="N24" s="32"/>
      <c r="O24" s="32"/>
      <c r="P24" s="32"/>
      <c r="Q24" s="32"/>
      <c r="R24" s="32"/>
      <c r="S24" s="32"/>
      <c r="T24" s="32"/>
      <c r="U24" s="32"/>
      <c r="V24" s="32"/>
      <c r="W24" s="32"/>
      <c r="X24"/>
      <c r="Y24"/>
      <c r="Z24"/>
      <c r="AA24"/>
      <c r="AB24"/>
      <c r="AC24"/>
      <c r="AD24"/>
      <c r="AE24"/>
      <c r="AG24"/>
      <c r="AH24"/>
      <c r="AI24"/>
      <c r="AJ24"/>
      <c r="AK24"/>
      <c r="AL24"/>
      <c r="AM24"/>
      <c r="AN24"/>
      <c r="AO24"/>
      <c r="AP24"/>
      <c r="AQ24"/>
      <c r="AR24"/>
      <c r="AS24"/>
      <c r="AT24"/>
      <c r="AU24"/>
      <c r="AV24"/>
      <c r="AW24"/>
      <c r="AX24"/>
      <c r="AY24"/>
      <c r="AZ24"/>
      <c r="BA24"/>
      <c r="BB24"/>
      <c r="BC24"/>
      <c r="BD24"/>
      <c r="BE24"/>
      <c r="BF24"/>
      <c r="BG24"/>
      <c r="BH24"/>
      <c r="BI24"/>
      <c r="BJ24"/>
      <c r="BK24"/>
      <c r="BL24"/>
      <c r="BQ24"/>
      <c r="BR24"/>
      <c r="BS24"/>
      <c r="BT24"/>
      <c r="BU24"/>
      <c r="BV24"/>
      <c r="BW24"/>
      <c r="BX24"/>
      <c r="BY24"/>
      <c r="BZ24"/>
      <c r="CB24"/>
      <c r="CC24"/>
      <c r="CD24"/>
      <c r="CF24"/>
      <c r="CG24"/>
      <c r="CH24"/>
      <c r="CJ24"/>
      <c r="CK24"/>
      <c r="CL24"/>
      <c r="CM24"/>
      <c r="CN24"/>
      <c r="CP24"/>
      <c r="CQ24"/>
      <c r="CR24"/>
      <c r="CS24"/>
      <c r="CT24"/>
      <c r="CU24"/>
      <c r="CV24"/>
      <c r="CW24"/>
      <c r="CX24"/>
      <c r="CY24"/>
      <c r="CZ24"/>
      <c r="DA24"/>
      <c r="DB24"/>
      <c r="DC24"/>
      <c r="DD24"/>
      <c r="DE24"/>
      <c r="DF24"/>
      <c r="DG24"/>
      <c r="DH24"/>
      <c r="DI24"/>
      <c r="DJ24"/>
      <c r="DK24"/>
      <c r="DL24"/>
      <c r="DM24"/>
      <c r="DN24"/>
      <c r="DO24"/>
      <c r="DP24"/>
      <c r="DQ24" s="1">
        <f t="shared" si="0"/>
        <v>0</v>
      </c>
      <c r="DR24" s="1">
        <f t="shared" si="1"/>
        <v>0</v>
      </c>
      <c r="DS24" s="1">
        <f t="shared" si="2"/>
        <v>0</v>
      </c>
      <c r="DT24" s="1">
        <f t="shared" si="3"/>
        <v>0</v>
      </c>
      <c r="DU24" s="1">
        <f t="shared" si="4"/>
        <v>0</v>
      </c>
      <c r="DV24" s="1">
        <f t="shared" si="5"/>
        <v>0</v>
      </c>
      <c r="DW24" s="1">
        <f t="shared" si="6"/>
        <v>0</v>
      </c>
      <c r="DX24" s="1">
        <f t="shared" si="7"/>
        <v>0</v>
      </c>
      <c r="DY24" s="1" t="str">
        <f t="array" ref="DY24">_xlfn.LET(
_xlpm.a,LOWER(TRIM(DQ24&amp;"")),
_xlpm.b,LOWER(TRIM(DR24&amp;"")),
_xlpm.x,_xlfn.IFS(_xlpm.a="0",0,_xlpm.a="none",0,_xlpm.a="moderate",1,_xlpm.a="strong",2),
_xlpm.y,_xlfn.IFS(_xlpm.b="0",0,_xlpm.b="none",0,_xlpm.b="moderate",1,_xlpm.b="strong",2),
_xlpm.d,ABS(_xlpm.x-_xlpm.y),
IF(_xlpm.d=0,"green",IF(_xlpm.d=1,"orange",IF(_xlpm.d=2,"red","check")))
)</f>
        <v>green</v>
      </c>
      <c r="DZ24" s="1" t="str">
        <f t="array" ref="DZ24">_xlfn.LET(
_xlpm.a,LOWER(TRIM(DS24&amp;"")),
_xlpm.b,LOWER(TRIM(DT24&amp;"")),
_xlpm.x,_xlfn.IFS(_xlpm.a="0",0,_xlpm.a="none",0,_xlpm.a="moderate",1,_xlpm.a="strong",2),
_xlpm.y,_xlfn.IFS(_xlpm.b="0",0,_xlpm.b="none",0,_xlpm.b="moderate",1,_xlpm.b="strong",2),
_xlpm.d,ABS(_xlpm.x-_xlpm.y),
IF(_xlpm.d=0,"green",IF(_xlpm.d=1,"orange",IF(_xlpm.d=2,"red","check")))
)</f>
        <v>green</v>
      </c>
      <c r="EA24" s="1" t="str">
        <f t="array" ref="EA24">_xlfn.LET(
_xlpm.a,LOWER(TRIM(DU24&amp;"")),
_xlpm.b,LOWER(TRIM(DV24&amp;"")),
_xlpm.x,_xlfn.IFS(_xlpm.a="0",0,_xlpm.a="none",0,_xlpm.a="moderate",1,_xlpm.a="strong",2),
_xlpm.y,_xlfn.IFS(_xlpm.b="0",0,_xlpm.b="none",0,_xlpm.b="moderate",1,_xlpm.b="strong",2),
_xlpm.d,ABS(_xlpm.x-_xlpm.y),
IF(_xlpm.d=0,"green",IF(_xlpm.d=1,"orange",IF(_xlpm.d=2,"red","check")))
)</f>
        <v>green</v>
      </c>
      <c r="EB24" s="1" t="str">
        <f t="array" ref="EB24">_xlfn.LET(
_xlpm.a,LOWER(TRIM(DW24&amp;"")),
_xlpm.b,LOWER(TRIM(DX24&amp;"")),
_xlpm.x,_xlfn.IFS(_xlpm.a="0",0,_xlpm.a="none",0,_xlpm.a="moderate",1,_xlpm.a="strong",2),
_xlpm.y,_xlfn.IFS(_xlpm.b="0",0,_xlpm.b="none",0,_xlpm.b="moderate",1,_xlpm.b="strong",2),
_xlpm.d,ABS(_xlpm.x-_xlpm.y),
IF(_xlpm.d=0,"green",IF(_xlpm.d=1,"orange",IF(_xlpm.d=2,"red","check")))
)</f>
        <v>green</v>
      </c>
      <c r="EC24"/>
      <c r="ED24"/>
      <c r="EE24"/>
      <c r="EF24"/>
      <c r="EG24"/>
      <c r="EH24"/>
      <c r="EI24"/>
      <c r="EJ24"/>
      <c r="EK24"/>
      <c r="EL24"/>
      <c r="EM24"/>
      <c r="EN24"/>
      <c r="EO24"/>
      <c r="EP24"/>
      <c r="EQ24"/>
      <c r="ER24"/>
      <c r="ES24" s="58" t="str">
        <f t="shared" si="8"/>
        <v/>
      </c>
      <c r="ET24" s="58" t="str">
        <f t="shared" si="9"/>
        <v>No</v>
      </c>
      <c r="EU24" s="59" t="str">
        <f t="shared" si="15"/>
        <v>Uninformative</v>
      </c>
      <c r="EV24" s="59" t="str">
        <f t="shared" si="16"/>
        <v>Uninformative</v>
      </c>
      <c r="EW24" s="59" t="str">
        <f t="shared" si="10"/>
        <v>Uninformative</v>
      </c>
      <c r="EX24" s="58" t="str">
        <f t="shared" si="11"/>
        <v>Uninformative</v>
      </c>
      <c r="EY24" s="58" t="str">
        <f t="shared" si="12"/>
        <v>Uninformative</v>
      </c>
      <c r="EZ24" s="58" t="str">
        <f t="shared" si="13"/>
        <v>Uninformative</v>
      </c>
      <c r="FA24" s="58" t="str">
        <f t="shared" si="14"/>
        <v>No</v>
      </c>
      <c r="FB24" s="34"/>
      <c r="FC24" s="34"/>
      <c r="FD24" s="34"/>
      <c r="FE24" s="34"/>
      <c r="FF24" s="34"/>
      <c r="FG24" s="34"/>
      <c r="FH24" s="34"/>
    </row>
    <row r="25" spans="1:164" ht="20" customHeight="1">
      <c r="A25" s="32"/>
      <c r="B25" s="32"/>
      <c r="C25" s="32"/>
      <c r="D25" s="32"/>
      <c r="E25" s="32"/>
      <c r="F25" s="32"/>
      <c r="G25" s="32"/>
      <c r="H25" s="32"/>
      <c r="I25" s="32"/>
      <c r="J25" s="32"/>
      <c r="K25" s="32"/>
      <c r="L25" s="32"/>
      <c r="M25" s="32"/>
      <c r="N25" s="32"/>
      <c r="O25" s="32"/>
      <c r="P25" s="32"/>
      <c r="Q25" s="32"/>
      <c r="R25" s="32"/>
      <c r="S25" s="32"/>
      <c r="T25" s="32"/>
      <c r="U25" s="32"/>
      <c r="V25" s="32"/>
      <c r="W25" s="32"/>
      <c r="X25"/>
      <c r="Y25"/>
      <c r="Z25"/>
      <c r="AA25"/>
      <c r="AB25"/>
      <c r="AC25"/>
      <c r="AD25"/>
      <c r="AE25"/>
      <c r="AG25"/>
      <c r="AH25"/>
      <c r="AI25"/>
      <c r="AJ25"/>
      <c r="AK25"/>
      <c r="AL25"/>
      <c r="CZ25"/>
      <c r="DA25"/>
      <c r="DB25"/>
      <c r="DC25"/>
      <c r="DD25"/>
      <c r="DE25"/>
      <c r="DF25"/>
      <c r="DG25"/>
      <c r="DH25"/>
      <c r="DI25"/>
      <c r="DJ25"/>
      <c r="DK25"/>
      <c r="DL25"/>
      <c r="DM25"/>
      <c r="DN25"/>
      <c r="DO25"/>
      <c r="DP25"/>
      <c r="DQ25" s="1">
        <f t="shared" si="0"/>
        <v>0</v>
      </c>
      <c r="DR25" s="1">
        <f t="shared" si="1"/>
        <v>0</v>
      </c>
      <c r="DS25" s="1">
        <f t="shared" si="2"/>
        <v>0</v>
      </c>
      <c r="DT25" s="1">
        <f t="shared" si="3"/>
        <v>0</v>
      </c>
      <c r="DU25" s="1">
        <f t="shared" si="4"/>
        <v>0</v>
      </c>
      <c r="DV25" s="1">
        <f t="shared" si="5"/>
        <v>0</v>
      </c>
      <c r="DW25" s="1">
        <f t="shared" si="6"/>
        <v>0</v>
      </c>
      <c r="DX25" s="1">
        <f t="shared" si="7"/>
        <v>0</v>
      </c>
      <c r="DY25" s="1" t="str">
        <f t="array" ref="DY25">_xlfn.LET(
_xlpm.a,LOWER(TRIM(DQ25&amp;"")),
_xlpm.b,LOWER(TRIM(DR25&amp;"")),
_xlpm.x,_xlfn.IFS(_xlpm.a="0",0,_xlpm.a="none",0,_xlpm.a="moderate",1,_xlpm.a="strong",2),
_xlpm.y,_xlfn.IFS(_xlpm.b="0",0,_xlpm.b="none",0,_xlpm.b="moderate",1,_xlpm.b="strong",2),
_xlpm.d,ABS(_xlpm.x-_xlpm.y),
IF(_xlpm.d=0,"green",IF(_xlpm.d=1,"orange",IF(_xlpm.d=2,"red","check")))
)</f>
        <v>green</v>
      </c>
      <c r="DZ25" s="1" t="str">
        <f t="array" ref="DZ25">_xlfn.LET(
_xlpm.a,LOWER(TRIM(DS25&amp;"")),
_xlpm.b,LOWER(TRIM(DT25&amp;"")),
_xlpm.x,_xlfn.IFS(_xlpm.a="0",0,_xlpm.a="none",0,_xlpm.a="moderate",1,_xlpm.a="strong",2),
_xlpm.y,_xlfn.IFS(_xlpm.b="0",0,_xlpm.b="none",0,_xlpm.b="moderate",1,_xlpm.b="strong",2),
_xlpm.d,ABS(_xlpm.x-_xlpm.y),
IF(_xlpm.d=0,"green",IF(_xlpm.d=1,"orange",IF(_xlpm.d=2,"red","check")))
)</f>
        <v>green</v>
      </c>
      <c r="EA25" s="1" t="str">
        <f t="array" ref="EA25">_xlfn.LET(
_xlpm.a,LOWER(TRIM(DU25&amp;"")),
_xlpm.b,LOWER(TRIM(DV25&amp;"")),
_xlpm.x,_xlfn.IFS(_xlpm.a="0",0,_xlpm.a="none",0,_xlpm.a="moderate",1,_xlpm.a="strong",2),
_xlpm.y,_xlfn.IFS(_xlpm.b="0",0,_xlpm.b="none",0,_xlpm.b="moderate",1,_xlpm.b="strong",2),
_xlpm.d,ABS(_xlpm.x-_xlpm.y),
IF(_xlpm.d=0,"green",IF(_xlpm.d=1,"orange",IF(_xlpm.d=2,"red","check")))
)</f>
        <v>green</v>
      </c>
      <c r="EB25" s="1" t="str">
        <f t="array" ref="EB25">_xlfn.LET(
_xlpm.a,LOWER(TRIM(DW25&amp;"")),
_xlpm.b,LOWER(TRIM(DX25&amp;"")),
_xlpm.x,_xlfn.IFS(_xlpm.a="0",0,_xlpm.a="none",0,_xlpm.a="moderate",1,_xlpm.a="strong",2),
_xlpm.y,_xlfn.IFS(_xlpm.b="0",0,_xlpm.b="none",0,_xlpm.b="moderate",1,_xlpm.b="strong",2),
_xlpm.d,ABS(_xlpm.x-_xlpm.y),
IF(_xlpm.d=0,"green",IF(_xlpm.d=1,"orange",IF(_xlpm.d=2,"red","check")))
)</f>
        <v>green</v>
      </c>
      <c r="EC25"/>
      <c r="ED25"/>
      <c r="EE25"/>
      <c r="EF25"/>
      <c r="EG25"/>
      <c r="EH25"/>
      <c r="EI25"/>
      <c r="EJ25"/>
      <c r="EK25"/>
      <c r="EL25"/>
      <c r="EM25"/>
      <c r="EN25"/>
      <c r="EO25"/>
      <c r="EP25"/>
      <c r="EQ25"/>
      <c r="ER25"/>
      <c r="ES25" s="58" t="str">
        <f t="shared" si="8"/>
        <v/>
      </c>
      <c r="ET25" s="58" t="str">
        <f t="shared" si="9"/>
        <v>No</v>
      </c>
      <c r="EU25" s="59" t="str">
        <f t="shared" si="15"/>
        <v>Uninformative</v>
      </c>
      <c r="EV25" s="59" t="str">
        <f t="shared" si="16"/>
        <v>Uninformative</v>
      </c>
      <c r="EW25" s="59" t="str">
        <f t="shared" si="10"/>
        <v>Uninformative</v>
      </c>
      <c r="EX25" s="58" t="str">
        <f t="shared" si="11"/>
        <v>Uninformative</v>
      </c>
      <c r="EY25" s="58" t="str">
        <f t="shared" si="12"/>
        <v>Uninformative</v>
      </c>
      <c r="EZ25" s="58" t="str">
        <f t="shared" si="13"/>
        <v>Uninformative</v>
      </c>
      <c r="FA25" s="58" t="str">
        <f t="shared" si="14"/>
        <v>No</v>
      </c>
      <c r="FB25" s="34"/>
      <c r="FC25" s="34"/>
      <c r="FD25" s="34"/>
      <c r="FE25" s="34"/>
      <c r="FF25" s="34"/>
      <c r="FG25" s="34"/>
      <c r="FH25" s="34"/>
    </row>
    <row r="26" spans="1:164" ht="20" customHeight="1">
      <c r="A26" s="32"/>
      <c r="B26" s="32"/>
      <c r="C26" s="32"/>
      <c r="D26" s="32"/>
      <c r="E26" s="32"/>
      <c r="F26" s="32"/>
      <c r="G26" s="32"/>
      <c r="H26" s="32"/>
      <c r="I26" s="32"/>
      <c r="J26" s="32"/>
      <c r="K26" s="32"/>
      <c r="L26" s="32"/>
      <c r="M26" s="32"/>
      <c r="N26" s="32"/>
      <c r="O26" s="32"/>
      <c r="P26" s="32"/>
      <c r="Q26" s="32"/>
      <c r="R26" s="32"/>
      <c r="S26" s="32"/>
      <c r="T26" s="32"/>
      <c r="U26" s="32"/>
      <c r="V26" s="32"/>
      <c r="W26" s="32"/>
      <c r="X26"/>
      <c r="Y26"/>
      <c r="Z26"/>
      <c r="AA26"/>
      <c r="AB26"/>
      <c r="AC26"/>
      <c r="AD26"/>
      <c r="AE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U26"/>
      <c r="BV26"/>
      <c r="BW26"/>
      <c r="BX26"/>
      <c r="BY26"/>
      <c r="BZ26"/>
      <c r="CB26"/>
      <c r="CC26"/>
      <c r="CD26"/>
      <c r="CF26"/>
      <c r="CG26"/>
      <c r="CH26"/>
      <c r="CJ26"/>
      <c r="CK26"/>
      <c r="CL26"/>
      <c r="CM26"/>
      <c r="CN26"/>
      <c r="CO26"/>
      <c r="CQ26"/>
      <c r="CR26"/>
      <c r="CS26"/>
      <c r="CT26"/>
      <c r="CU26"/>
      <c r="CV26"/>
      <c r="CW26"/>
      <c r="CX26"/>
      <c r="CY26"/>
      <c r="CZ26"/>
      <c r="DA26"/>
      <c r="DB26"/>
      <c r="DC26"/>
      <c r="DD26"/>
      <c r="DE26"/>
      <c r="DF26"/>
      <c r="DG26"/>
      <c r="DH26"/>
      <c r="DI26"/>
      <c r="DJ26"/>
      <c r="DK26"/>
      <c r="DL26"/>
      <c r="DM26"/>
      <c r="DN26"/>
      <c r="DO26"/>
      <c r="DP26"/>
      <c r="DQ26" s="1">
        <f t="shared" si="0"/>
        <v>0</v>
      </c>
      <c r="DR26" s="1">
        <f t="shared" si="1"/>
        <v>0</v>
      </c>
      <c r="DS26" s="1">
        <f t="shared" si="2"/>
        <v>0</v>
      </c>
      <c r="DT26" s="1">
        <f t="shared" si="3"/>
        <v>0</v>
      </c>
      <c r="DU26" s="1">
        <f t="shared" si="4"/>
        <v>0</v>
      </c>
      <c r="DV26" s="1">
        <f t="shared" si="5"/>
        <v>0</v>
      </c>
      <c r="DW26" s="1">
        <f t="shared" si="6"/>
        <v>0</v>
      </c>
      <c r="DX26" s="1">
        <f t="shared" si="7"/>
        <v>0</v>
      </c>
      <c r="DY26" s="1" t="str">
        <f t="array" ref="DY26">_xlfn.LET(
_xlpm.a,LOWER(TRIM(DQ26&amp;"")),
_xlpm.b,LOWER(TRIM(DR26&amp;"")),
_xlpm.x,_xlfn.IFS(_xlpm.a="0",0,_xlpm.a="none",0,_xlpm.a="moderate",1,_xlpm.a="strong",2),
_xlpm.y,_xlfn.IFS(_xlpm.b="0",0,_xlpm.b="none",0,_xlpm.b="moderate",1,_xlpm.b="strong",2),
_xlpm.d,ABS(_xlpm.x-_xlpm.y),
IF(_xlpm.d=0,"green",IF(_xlpm.d=1,"orange",IF(_xlpm.d=2,"red","check")))
)</f>
        <v>green</v>
      </c>
      <c r="DZ26" s="1" t="str">
        <f t="array" ref="DZ26">_xlfn.LET(
_xlpm.a,LOWER(TRIM(DS26&amp;"")),
_xlpm.b,LOWER(TRIM(DT26&amp;"")),
_xlpm.x,_xlfn.IFS(_xlpm.a="0",0,_xlpm.a="none",0,_xlpm.a="moderate",1,_xlpm.a="strong",2),
_xlpm.y,_xlfn.IFS(_xlpm.b="0",0,_xlpm.b="none",0,_xlpm.b="moderate",1,_xlpm.b="strong",2),
_xlpm.d,ABS(_xlpm.x-_xlpm.y),
IF(_xlpm.d=0,"green",IF(_xlpm.d=1,"orange",IF(_xlpm.d=2,"red","check")))
)</f>
        <v>green</v>
      </c>
      <c r="EA26" s="1" t="str">
        <f t="array" ref="EA26">_xlfn.LET(
_xlpm.a,LOWER(TRIM(DU26&amp;"")),
_xlpm.b,LOWER(TRIM(DV26&amp;"")),
_xlpm.x,_xlfn.IFS(_xlpm.a="0",0,_xlpm.a="none",0,_xlpm.a="moderate",1,_xlpm.a="strong",2),
_xlpm.y,_xlfn.IFS(_xlpm.b="0",0,_xlpm.b="none",0,_xlpm.b="moderate",1,_xlpm.b="strong",2),
_xlpm.d,ABS(_xlpm.x-_xlpm.y),
IF(_xlpm.d=0,"green",IF(_xlpm.d=1,"orange",IF(_xlpm.d=2,"red","check")))
)</f>
        <v>green</v>
      </c>
      <c r="EB26" s="1" t="str">
        <f t="array" ref="EB26">_xlfn.LET(
_xlpm.a,LOWER(TRIM(DW26&amp;"")),
_xlpm.b,LOWER(TRIM(DX26&amp;"")),
_xlpm.x,_xlfn.IFS(_xlpm.a="0",0,_xlpm.a="none",0,_xlpm.a="moderate",1,_xlpm.a="strong",2),
_xlpm.y,_xlfn.IFS(_xlpm.b="0",0,_xlpm.b="none",0,_xlpm.b="moderate",1,_xlpm.b="strong",2),
_xlpm.d,ABS(_xlpm.x-_xlpm.y),
IF(_xlpm.d=0,"green",IF(_xlpm.d=1,"orange",IF(_xlpm.d=2,"red","check")))
)</f>
        <v>green</v>
      </c>
      <c r="EC26"/>
      <c r="ED26"/>
      <c r="EE26"/>
      <c r="EF26"/>
      <c r="EG26"/>
      <c r="EH26"/>
      <c r="EI26"/>
      <c r="EJ26"/>
      <c r="EK26"/>
      <c r="EL26"/>
      <c r="EM26"/>
      <c r="EN26"/>
      <c r="EO26"/>
      <c r="EP26"/>
      <c r="EQ26"/>
      <c r="ER26"/>
      <c r="ES26" s="58" t="str">
        <f t="shared" si="8"/>
        <v/>
      </c>
      <c r="ET26" s="58" t="str">
        <f t="shared" si="9"/>
        <v>No</v>
      </c>
      <c r="EU26" s="59" t="str">
        <f t="shared" si="15"/>
        <v>Uninformative</v>
      </c>
      <c r="EV26" s="59" t="str">
        <f t="shared" si="16"/>
        <v>Uninformative</v>
      </c>
      <c r="EW26" s="59" t="str">
        <f t="shared" si="10"/>
        <v>Uninformative</v>
      </c>
      <c r="EX26" s="58" t="str">
        <f t="shared" si="11"/>
        <v>Uninformative</v>
      </c>
      <c r="EY26" s="58" t="str">
        <f t="shared" si="12"/>
        <v>Uninformative</v>
      </c>
      <c r="EZ26" s="58" t="str">
        <f t="shared" si="13"/>
        <v>Uninformative</v>
      </c>
      <c r="FA26" s="58" t="str">
        <f t="shared" si="14"/>
        <v>No</v>
      </c>
    </row>
    <row r="27" spans="1:164" ht="20" customHeight="1">
      <c r="A27" s="32"/>
      <c r="B27" s="32"/>
      <c r="C27" s="32"/>
      <c r="D27" s="32"/>
      <c r="E27" s="32"/>
      <c r="F27" s="32"/>
      <c r="G27" s="32"/>
      <c r="H27" s="32"/>
      <c r="I27" s="32"/>
      <c r="J27" s="32"/>
      <c r="K27" s="32"/>
      <c r="L27" s="32"/>
      <c r="M27" s="32"/>
      <c r="N27" s="32"/>
      <c r="O27" s="32"/>
      <c r="P27" s="32"/>
      <c r="Q27" s="32"/>
      <c r="R27" s="32"/>
      <c r="S27" s="32"/>
      <c r="T27" s="32"/>
      <c r="U27" s="32"/>
      <c r="V27" s="32"/>
      <c r="W27" s="32"/>
      <c r="X27"/>
      <c r="AA27"/>
      <c r="AB27"/>
      <c r="AM27"/>
      <c r="AN27"/>
      <c r="AO27"/>
      <c r="AP27"/>
      <c r="AQ27"/>
      <c r="AR27"/>
      <c r="AS27"/>
      <c r="AT27"/>
      <c r="AU27"/>
      <c r="AV27"/>
      <c r="AW27"/>
      <c r="AX27"/>
      <c r="AY27"/>
      <c r="AZ27"/>
      <c r="BA27"/>
      <c r="BB27"/>
      <c r="BC27"/>
      <c r="BD27"/>
      <c r="BE27"/>
      <c r="BF27"/>
      <c r="BG27"/>
      <c r="BH27"/>
      <c r="BI27"/>
      <c r="BJ27"/>
      <c r="BK27"/>
      <c r="BL27"/>
      <c r="BQ27"/>
      <c r="BR27"/>
      <c r="BS27"/>
      <c r="BT27"/>
      <c r="BU27"/>
      <c r="BV27"/>
      <c r="BW27"/>
      <c r="BX27"/>
      <c r="BY27"/>
      <c r="BZ27"/>
      <c r="CB27"/>
      <c r="CC27"/>
      <c r="CD27"/>
      <c r="CF27"/>
      <c r="CG27"/>
      <c r="CH27"/>
      <c r="CJ27"/>
      <c r="CK27"/>
      <c r="CL27"/>
      <c r="CM27"/>
      <c r="CN27"/>
      <c r="CP27"/>
      <c r="CQ27"/>
      <c r="CR27"/>
      <c r="CS27"/>
      <c r="CT27"/>
      <c r="CU27"/>
      <c r="CV27"/>
      <c r="CW27"/>
      <c r="CX27"/>
      <c r="CY27"/>
      <c r="CZ27"/>
      <c r="DA27"/>
      <c r="DB27"/>
      <c r="DC27"/>
      <c r="DD27"/>
      <c r="DE27"/>
      <c r="DF27"/>
      <c r="DG27"/>
      <c r="DH27"/>
      <c r="DI27"/>
      <c r="DJ27"/>
      <c r="DK27"/>
      <c r="DL27"/>
      <c r="DM27"/>
      <c r="DN27"/>
      <c r="DO27"/>
      <c r="DP27"/>
      <c r="DQ27" s="1">
        <f t="shared" si="0"/>
        <v>0</v>
      </c>
      <c r="DR27" s="1">
        <f t="shared" si="1"/>
        <v>0</v>
      </c>
      <c r="DS27" s="1">
        <f t="shared" si="2"/>
        <v>0</v>
      </c>
      <c r="DT27" s="1">
        <f t="shared" si="3"/>
        <v>0</v>
      </c>
      <c r="DU27" s="1">
        <f t="shared" si="4"/>
        <v>0</v>
      </c>
      <c r="DV27" s="1">
        <f t="shared" si="5"/>
        <v>0</v>
      </c>
      <c r="DW27" s="1">
        <f t="shared" si="6"/>
        <v>0</v>
      </c>
      <c r="DX27" s="1">
        <f t="shared" si="7"/>
        <v>0</v>
      </c>
      <c r="DY27" s="1" t="str">
        <f t="array" ref="DY27">_xlfn.LET(
_xlpm.a,LOWER(TRIM(DQ27&amp;"")),
_xlpm.b,LOWER(TRIM(DR27&amp;"")),
_xlpm.x,_xlfn.IFS(_xlpm.a="0",0,_xlpm.a="none",0,_xlpm.a="moderate",1,_xlpm.a="strong",2),
_xlpm.y,_xlfn.IFS(_xlpm.b="0",0,_xlpm.b="none",0,_xlpm.b="moderate",1,_xlpm.b="strong",2),
_xlpm.d,ABS(_xlpm.x-_xlpm.y),
IF(_xlpm.d=0,"green",IF(_xlpm.d=1,"orange",IF(_xlpm.d=2,"red","check")))
)</f>
        <v>green</v>
      </c>
      <c r="DZ27" s="1" t="str">
        <f t="array" ref="DZ27">_xlfn.LET(
_xlpm.a,LOWER(TRIM(DS27&amp;"")),
_xlpm.b,LOWER(TRIM(DT27&amp;"")),
_xlpm.x,_xlfn.IFS(_xlpm.a="0",0,_xlpm.a="none",0,_xlpm.a="moderate",1,_xlpm.a="strong",2),
_xlpm.y,_xlfn.IFS(_xlpm.b="0",0,_xlpm.b="none",0,_xlpm.b="moderate",1,_xlpm.b="strong",2),
_xlpm.d,ABS(_xlpm.x-_xlpm.y),
IF(_xlpm.d=0,"green",IF(_xlpm.d=1,"orange",IF(_xlpm.d=2,"red","check")))
)</f>
        <v>green</v>
      </c>
      <c r="EA27" s="1" t="str">
        <f t="array" ref="EA27">_xlfn.LET(
_xlpm.a,LOWER(TRIM(DU27&amp;"")),
_xlpm.b,LOWER(TRIM(DV27&amp;"")),
_xlpm.x,_xlfn.IFS(_xlpm.a="0",0,_xlpm.a="none",0,_xlpm.a="moderate",1,_xlpm.a="strong",2),
_xlpm.y,_xlfn.IFS(_xlpm.b="0",0,_xlpm.b="none",0,_xlpm.b="moderate",1,_xlpm.b="strong",2),
_xlpm.d,ABS(_xlpm.x-_xlpm.y),
IF(_xlpm.d=0,"green",IF(_xlpm.d=1,"orange",IF(_xlpm.d=2,"red","check")))
)</f>
        <v>green</v>
      </c>
      <c r="EB27" s="1" t="str">
        <f t="array" ref="EB27">_xlfn.LET(
_xlpm.a,LOWER(TRIM(DW27&amp;"")),
_xlpm.b,LOWER(TRIM(DX27&amp;"")),
_xlpm.x,_xlfn.IFS(_xlpm.a="0",0,_xlpm.a="none",0,_xlpm.a="moderate",1,_xlpm.a="strong",2),
_xlpm.y,_xlfn.IFS(_xlpm.b="0",0,_xlpm.b="none",0,_xlpm.b="moderate",1,_xlpm.b="strong",2),
_xlpm.d,ABS(_xlpm.x-_xlpm.y),
IF(_xlpm.d=0,"green",IF(_xlpm.d=1,"orange",IF(_xlpm.d=2,"red","check")))
)</f>
        <v>green</v>
      </c>
      <c r="EC27"/>
      <c r="ED27"/>
      <c r="EE27"/>
      <c r="EF27"/>
      <c r="EG27"/>
      <c r="EH27"/>
      <c r="EI27"/>
      <c r="EJ27"/>
      <c r="EK27"/>
      <c r="EL27"/>
      <c r="EM27"/>
      <c r="EN27"/>
      <c r="EO27"/>
      <c r="EP27"/>
      <c r="EQ27"/>
      <c r="ER27"/>
      <c r="ES27" s="58" t="str">
        <f t="shared" si="8"/>
        <v/>
      </c>
      <c r="ET27" s="58" t="str">
        <f t="shared" si="9"/>
        <v>No</v>
      </c>
      <c r="EU27" s="59" t="str">
        <f t="shared" si="15"/>
        <v>Uninformative</v>
      </c>
      <c r="EV27" s="59" t="str">
        <f t="shared" si="16"/>
        <v>Uninformative</v>
      </c>
      <c r="EW27" s="59" t="str">
        <f t="shared" si="10"/>
        <v>Uninformative</v>
      </c>
      <c r="EX27" s="58" t="str">
        <f t="shared" si="11"/>
        <v>Uninformative</v>
      </c>
      <c r="EY27" s="58" t="str">
        <f t="shared" si="12"/>
        <v>Uninformative</v>
      </c>
      <c r="EZ27" s="58" t="str">
        <f t="shared" si="13"/>
        <v>Uninformative</v>
      </c>
      <c r="FA27" s="58" t="str">
        <f t="shared" si="14"/>
        <v>No</v>
      </c>
    </row>
    <row r="28" spans="1:164" ht="20" customHeight="1">
      <c r="A28" s="32"/>
      <c r="B28" s="32"/>
      <c r="C28" s="32"/>
      <c r="D28" s="32"/>
      <c r="E28" s="32"/>
      <c r="F28" s="32"/>
      <c r="G28" s="32"/>
      <c r="H28" s="32"/>
      <c r="I28" s="32"/>
      <c r="J28" s="32"/>
      <c r="K28" s="32"/>
      <c r="L28" s="32"/>
      <c r="M28" s="32"/>
      <c r="N28" s="32"/>
      <c r="O28" s="32"/>
      <c r="P28" s="32"/>
      <c r="Q28" s="32"/>
      <c r="R28" s="32"/>
      <c r="S28" s="32"/>
      <c r="T28" s="32"/>
      <c r="U28" s="32"/>
      <c r="V28" s="32"/>
      <c r="W28" s="32"/>
      <c r="X28"/>
      <c r="Y28"/>
      <c r="Z28"/>
      <c r="AA28"/>
      <c r="AB28"/>
      <c r="AC28"/>
      <c r="AD28"/>
      <c r="AE28"/>
      <c r="AG28"/>
      <c r="AH28"/>
      <c r="AI28"/>
      <c r="AJ28"/>
      <c r="AK28"/>
      <c r="AL28"/>
      <c r="AM28"/>
      <c r="AN28"/>
      <c r="AO28"/>
      <c r="AP28"/>
      <c r="AQ28"/>
      <c r="AR28"/>
      <c r="AS28"/>
      <c r="AT28"/>
      <c r="AU28"/>
      <c r="AV28"/>
      <c r="AW28"/>
      <c r="AX28"/>
      <c r="AY28"/>
      <c r="AZ28"/>
      <c r="BE28"/>
      <c r="BF28"/>
      <c r="BG28"/>
      <c r="BH28"/>
      <c r="BU28"/>
      <c r="BV28"/>
      <c r="BW28"/>
      <c r="BX28"/>
      <c r="BY28"/>
      <c r="BZ28"/>
      <c r="CB28"/>
      <c r="CC28"/>
      <c r="CD28"/>
      <c r="CF28"/>
      <c r="CG28"/>
      <c r="CH28"/>
      <c r="CJ28"/>
      <c r="CK28"/>
      <c r="CM28"/>
      <c r="CQ28"/>
      <c r="CR28"/>
      <c r="CS28"/>
      <c r="CT28"/>
      <c r="CU28"/>
      <c r="CV28"/>
      <c r="CW28"/>
      <c r="CX28"/>
      <c r="CY28"/>
      <c r="CZ28"/>
      <c r="DA28"/>
      <c r="DB28"/>
      <c r="DC28"/>
      <c r="DD28"/>
      <c r="DE28"/>
      <c r="DF28"/>
      <c r="DG28"/>
      <c r="DH28"/>
      <c r="DI28"/>
      <c r="DJ28"/>
      <c r="DK28"/>
      <c r="DL28"/>
      <c r="DM28"/>
      <c r="DN28"/>
      <c r="DO28"/>
      <c r="DP28"/>
      <c r="DQ28" s="1">
        <f t="shared" si="0"/>
        <v>0</v>
      </c>
      <c r="DR28" s="1">
        <f t="shared" si="1"/>
        <v>0</v>
      </c>
      <c r="DS28" s="1">
        <f t="shared" si="2"/>
        <v>0</v>
      </c>
      <c r="DT28" s="1">
        <f t="shared" si="3"/>
        <v>0</v>
      </c>
      <c r="DU28" s="1">
        <f t="shared" si="4"/>
        <v>0</v>
      </c>
      <c r="DV28" s="1">
        <f t="shared" si="5"/>
        <v>0</v>
      </c>
      <c r="DW28" s="1">
        <f t="shared" si="6"/>
        <v>0</v>
      </c>
      <c r="DX28" s="1">
        <f t="shared" si="7"/>
        <v>0</v>
      </c>
      <c r="DY28" s="1" t="str">
        <f t="array" ref="DY28">_xlfn.LET(
_xlpm.a,LOWER(TRIM(DQ28&amp;"")),
_xlpm.b,LOWER(TRIM(DR28&amp;"")),
_xlpm.x,_xlfn.IFS(_xlpm.a="0",0,_xlpm.a="none",0,_xlpm.a="moderate",1,_xlpm.a="strong",2),
_xlpm.y,_xlfn.IFS(_xlpm.b="0",0,_xlpm.b="none",0,_xlpm.b="moderate",1,_xlpm.b="strong",2),
_xlpm.d,ABS(_xlpm.x-_xlpm.y),
IF(_xlpm.d=0,"green",IF(_xlpm.d=1,"orange",IF(_xlpm.d=2,"red","check")))
)</f>
        <v>green</v>
      </c>
      <c r="DZ28" s="1" t="str">
        <f t="array" ref="DZ28">_xlfn.LET(
_xlpm.a,LOWER(TRIM(DS28&amp;"")),
_xlpm.b,LOWER(TRIM(DT28&amp;"")),
_xlpm.x,_xlfn.IFS(_xlpm.a="0",0,_xlpm.a="none",0,_xlpm.a="moderate",1,_xlpm.a="strong",2),
_xlpm.y,_xlfn.IFS(_xlpm.b="0",0,_xlpm.b="none",0,_xlpm.b="moderate",1,_xlpm.b="strong",2),
_xlpm.d,ABS(_xlpm.x-_xlpm.y),
IF(_xlpm.d=0,"green",IF(_xlpm.d=1,"orange",IF(_xlpm.d=2,"red","check")))
)</f>
        <v>green</v>
      </c>
      <c r="EA28" s="1" t="str">
        <f t="array" ref="EA28">_xlfn.LET(
_xlpm.a,LOWER(TRIM(DU28&amp;"")),
_xlpm.b,LOWER(TRIM(DV28&amp;"")),
_xlpm.x,_xlfn.IFS(_xlpm.a="0",0,_xlpm.a="none",0,_xlpm.a="moderate",1,_xlpm.a="strong",2),
_xlpm.y,_xlfn.IFS(_xlpm.b="0",0,_xlpm.b="none",0,_xlpm.b="moderate",1,_xlpm.b="strong",2),
_xlpm.d,ABS(_xlpm.x-_xlpm.y),
IF(_xlpm.d=0,"green",IF(_xlpm.d=1,"orange",IF(_xlpm.d=2,"red","check")))
)</f>
        <v>green</v>
      </c>
      <c r="EB28" s="1" t="str">
        <f t="array" ref="EB28">_xlfn.LET(
_xlpm.a,LOWER(TRIM(DW28&amp;"")),
_xlpm.b,LOWER(TRIM(DX28&amp;"")),
_xlpm.x,_xlfn.IFS(_xlpm.a="0",0,_xlpm.a="none",0,_xlpm.a="moderate",1,_xlpm.a="strong",2),
_xlpm.y,_xlfn.IFS(_xlpm.b="0",0,_xlpm.b="none",0,_xlpm.b="moderate",1,_xlpm.b="strong",2),
_xlpm.d,ABS(_xlpm.x-_xlpm.y),
IF(_xlpm.d=0,"green",IF(_xlpm.d=1,"orange",IF(_xlpm.d=2,"red","check")))
)</f>
        <v>green</v>
      </c>
      <c r="EC28"/>
      <c r="ED28"/>
      <c r="EE28"/>
      <c r="EF28"/>
      <c r="EG28"/>
      <c r="EH28"/>
      <c r="EI28"/>
      <c r="EJ28"/>
      <c r="EK28"/>
      <c r="EL28"/>
      <c r="EM28"/>
      <c r="EN28"/>
      <c r="EO28"/>
      <c r="EP28"/>
      <c r="EQ28"/>
      <c r="ER28"/>
      <c r="ES28" s="58" t="str">
        <f t="shared" si="8"/>
        <v/>
      </c>
      <c r="ET28" s="58" t="str">
        <f t="shared" si="9"/>
        <v>No</v>
      </c>
      <c r="EU28" s="59" t="str">
        <f t="shared" si="15"/>
        <v>Uninformative</v>
      </c>
      <c r="EV28" s="59" t="str">
        <f t="shared" si="16"/>
        <v>Uninformative</v>
      </c>
      <c r="EW28" s="59" t="str">
        <f t="shared" si="10"/>
        <v>Uninformative</v>
      </c>
      <c r="EX28" s="58" t="str">
        <f t="shared" si="11"/>
        <v>Uninformative</v>
      </c>
      <c r="EY28" s="58" t="str">
        <f t="shared" si="12"/>
        <v>Uninformative</v>
      </c>
      <c r="EZ28" s="58" t="str">
        <f t="shared" si="13"/>
        <v>Uninformative</v>
      </c>
      <c r="FA28" s="58" t="str">
        <f t="shared" si="14"/>
        <v>No</v>
      </c>
    </row>
    <row r="29" spans="1:164" ht="20" customHeight="1">
      <c r="A29" s="32"/>
      <c r="B29" s="32"/>
      <c r="C29" s="32"/>
      <c r="D29" s="32"/>
      <c r="E29" s="32"/>
      <c r="F29" s="32"/>
      <c r="G29" s="32"/>
      <c r="H29" s="32"/>
      <c r="I29" s="32"/>
      <c r="J29" s="32"/>
      <c r="K29" s="32"/>
      <c r="L29" s="32"/>
      <c r="M29" s="32"/>
      <c r="N29" s="32"/>
      <c r="O29" s="32"/>
      <c r="P29" s="32"/>
      <c r="Q29" s="32"/>
      <c r="R29" s="32"/>
      <c r="S29" s="32"/>
      <c r="T29" s="32"/>
      <c r="U29" s="32"/>
      <c r="V29" s="32"/>
      <c r="W29" s="32"/>
      <c r="X29"/>
      <c r="AA29"/>
      <c r="AB29"/>
      <c r="AM29"/>
      <c r="AN29"/>
      <c r="AO29"/>
      <c r="AP29"/>
      <c r="AQ29"/>
      <c r="AR29"/>
      <c r="AS29"/>
      <c r="AT29"/>
      <c r="AU29"/>
      <c r="AV29"/>
      <c r="AW29"/>
      <c r="AX29"/>
      <c r="AY29"/>
      <c r="AZ29"/>
      <c r="BA29"/>
      <c r="BB29"/>
      <c r="BC29"/>
      <c r="BD29"/>
      <c r="BE29"/>
      <c r="BF29"/>
      <c r="BG29"/>
      <c r="BH29"/>
      <c r="BI29"/>
      <c r="BJ29"/>
      <c r="BK29"/>
      <c r="BL29"/>
      <c r="BQ29"/>
      <c r="BR29"/>
      <c r="BS29"/>
      <c r="BT29"/>
      <c r="BU29"/>
      <c r="BV29"/>
      <c r="BW29"/>
      <c r="BX29"/>
      <c r="BY29"/>
      <c r="BZ29"/>
      <c r="CB29"/>
      <c r="CC29"/>
      <c r="CD29"/>
      <c r="CF29"/>
      <c r="CG29"/>
      <c r="CH29"/>
      <c r="CJ29"/>
      <c r="CK29"/>
      <c r="CL29"/>
      <c r="CM29"/>
      <c r="CN29"/>
      <c r="CP29"/>
      <c r="CQ29"/>
      <c r="CR29"/>
      <c r="CS29"/>
      <c r="CT29"/>
      <c r="CU29"/>
      <c r="CV29"/>
      <c r="CW29"/>
      <c r="CX29"/>
      <c r="CY29"/>
      <c r="CZ29"/>
      <c r="DA29"/>
      <c r="DB29"/>
      <c r="DC29"/>
      <c r="DD29"/>
      <c r="DE29"/>
      <c r="DF29"/>
      <c r="DG29"/>
      <c r="DH29"/>
      <c r="DI29"/>
      <c r="DJ29"/>
      <c r="DK29"/>
      <c r="DL29"/>
      <c r="DM29"/>
      <c r="DN29"/>
      <c r="DO29"/>
      <c r="DP29"/>
      <c r="DQ29" s="1">
        <f t="shared" si="0"/>
        <v>0</v>
      </c>
      <c r="DR29" s="1">
        <f t="shared" si="1"/>
        <v>0</v>
      </c>
      <c r="DS29" s="1">
        <f t="shared" si="2"/>
        <v>0</v>
      </c>
      <c r="DT29" s="1">
        <f t="shared" si="3"/>
        <v>0</v>
      </c>
      <c r="DU29" s="1">
        <f t="shared" si="4"/>
        <v>0</v>
      </c>
      <c r="DV29" s="1">
        <f t="shared" si="5"/>
        <v>0</v>
      </c>
      <c r="DW29" s="1">
        <f t="shared" si="6"/>
        <v>0</v>
      </c>
      <c r="DX29" s="1">
        <f t="shared" si="7"/>
        <v>0</v>
      </c>
      <c r="DY29" s="1" t="str">
        <f t="array" ref="DY29">_xlfn.LET(
_xlpm.a,LOWER(TRIM(DQ29&amp;"")),
_xlpm.b,LOWER(TRIM(DR29&amp;"")),
_xlpm.x,_xlfn.IFS(_xlpm.a="0",0,_xlpm.a="none",0,_xlpm.a="moderate",1,_xlpm.a="strong",2),
_xlpm.y,_xlfn.IFS(_xlpm.b="0",0,_xlpm.b="none",0,_xlpm.b="moderate",1,_xlpm.b="strong",2),
_xlpm.d,ABS(_xlpm.x-_xlpm.y),
IF(_xlpm.d=0,"green",IF(_xlpm.d=1,"orange",IF(_xlpm.d=2,"red","check")))
)</f>
        <v>green</v>
      </c>
      <c r="DZ29" s="1" t="str">
        <f t="array" ref="DZ29">_xlfn.LET(
_xlpm.a,LOWER(TRIM(DS29&amp;"")),
_xlpm.b,LOWER(TRIM(DT29&amp;"")),
_xlpm.x,_xlfn.IFS(_xlpm.a="0",0,_xlpm.a="none",0,_xlpm.a="moderate",1,_xlpm.a="strong",2),
_xlpm.y,_xlfn.IFS(_xlpm.b="0",0,_xlpm.b="none",0,_xlpm.b="moderate",1,_xlpm.b="strong",2),
_xlpm.d,ABS(_xlpm.x-_xlpm.y),
IF(_xlpm.d=0,"green",IF(_xlpm.d=1,"orange",IF(_xlpm.d=2,"red","check")))
)</f>
        <v>green</v>
      </c>
      <c r="EA29" s="1" t="str">
        <f t="array" ref="EA29">_xlfn.LET(
_xlpm.a,LOWER(TRIM(DU29&amp;"")),
_xlpm.b,LOWER(TRIM(DV29&amp;"")),
_xlpm.x,_xlfn.IFS(_xlpm.a="0",0,_xlpm.a="none",0,_xlpm.a="moderate",1,_xlpm.a="strong",2),
_xlpm.y,_xlfn.IFS(_xlpm.b="0",0,_xlpm.b="none",0,_xlpm.b="moderate",1,_xlpm.b="strong",2),
_xlpm.d,ABS(_xlpm.x-_xlpm.y),
IF(_xlpm.d=0,"green",IF(_xlpm.d=1,"orange",IF(_xlpm.d=2,"red","check")))
)</f>
        <v>green</v>
      </c>
      <c r="EB29" s="1" t="str">
        <f t="array" ref="EB29">_xlfn.LET(
_xlpm.a,LOWER(TRIM(DW29&amp;"")),
_xlpm.b,LOWER(TRIM(DX29&amp;"")),
_xlpm.x,_xlfn.IFS(_xlpm.a="0",0,_xlpm.a="none",0,_xlpm.a="moderate",1,_xlpm.a="strong",2),
_xlpm.y,_xlfn.IFS(_xlpm.b="0",0,_xlpm.b="none",0,_xlpm.b="moderate",1,_xlpm.b="strong",2),
_xlpm.d,ABS(_xlpm.x-_xlpm.y),
IF(_xlpm.d=0,"green",IF(_xlpm.d=1,"orange",IF(_xlpm.d=2,"red","check")))
)</f>
        <v>green</v>
      </c>
      <c r="EC29"/>
      <c r="ED29"/>
      <c r="EE29"/>
      <c r="EF29"/>
      <c r="EG29"/>
      <c r="EH29"/>
      <c r="EI29"/>
      <c r="EJ29"/>
      <c r="EK29"/>
      <c r="EL29"/>
      <c r="EM29"/>
      <c r="EN29"/>
      <c r="EO29"/>
      <c r="EP29"/>
      <c r="EQ29"/>
      <c r="ER29"/>
      <c r="ES29" s="58" t="str">
        <f t="shared" si="8"/>
        <v/>
      </c>
      <c r="ET29" s="58" t="str">
        <f t="shared" si="9"/>
        <v>No</v>
      </c>
      <c r="EU29" s="59" t="str">
        <f t="shared" si="15"/>
        <v>Uninformative</v>
      </c>
      <c r="EV29" s="59" t="str">
        <f t="shared" si="16"/>
        <v>Uninformative</v>
      </c>
      <c r="EW29" s="59" t="str">
        <f t="shared" si="10"/>
        <v>Uninformative</v>
      </c>
      <c r="EX29" s="58" t="str">
        <f t="shared" si="11"/>
        <v>Uninformative</v>
      </c>
      <c r="EY29" s="58" t="str">
        <f t="shared" si="12"/>
        <v>Uninformative</v>
      </c>
      <c r="EZ29" s="58" t="str">
        <f t="shared" si="13"/>
        <v>Uninformative</v>
      </c>
      <c r="FA29" s="58" t="str">
        <f t="shared" si="14"/>
        <v>No</v>
      </c>
    </row>
    <row r="30" spans="1:164" ht="20" customHeight="1">
      <c r="A30" s="32"/>
      <c r="B30" s="32"/>
      <c r="C30" s="32"/>
      <c r="D30" s="32"/>
      <c r="E30" s="32"/>
      <c r="F30" s="32"/>
      <c r="G30" s="32"/>
      <c r="H30" s="32"/>
      <c r="I30" s="32"/>
      <c r="J30" s="32"/>
      <c r="K30" s="32"/>
      <c r="L30" s="32"/>
      <c r="M30" s="32"/>
      <c r="N30" s="32"/>
      <c r="O30" s="32"/>
      <c r="P30" s="32"/>
      <c r="Q30" s="32"/>
      <c r="R30" s="32"/>
      <c r="S30" s="32"/>
      <c r="T30" s="32"/>
      <c r="U30" s="32"/>
      <c r="V30" s="32"/>
      <c r="W30" s="32"/>
      <c r="X30"/>
      <c r="Y30"/>
      <c r="Z30"/>
      <c r="AA30"/>
      <c r="AB30"/>
      <c r="AC30"/>
      <c r="AD30"/>
      <c r="AE30"/>
      <c r="AG30"/>
      <c r="AH30"/>
      <c r="AI30"/>
      <c r="AJ30"/>
      <c r="AK30"/>
      <c r="AL30"/>
      <c r="AM30"/>
      <c r="AN30"/>
      <c r="AO30"/>
      <c r="AP30"/>
      <c r="AQ30"/>
      <c r="AR30"/>
      <c r="AS30"/>
      <c r="AT30"/>
      <c r="AU30"/>
      <c r="AV30"/>
      <c r="AW30"/>
      <c r="AX30"/>
      <c r="AY30"/>
      <c r="AZ30"/>
      <c r="BA30"/>
      <c r="BB30"/>
      <c r="BC30"/>
      <c r="BD30"/>
      <c r="BE30"/>
      <c r="BF30"/>
      <c r="BG30"/>
      <c r="BH30"/>
      <c r="BI30"/>
      <c r="BJ30"/>
      <c r="BK30"/>
      <c r="BL30"/>
      <c r="BQ30"/>
      <c r="BR30"/>
      <c r="BS30"/>
      <c r="BT30"/>
      <c r="BU30"/>
      <c r="BV30"/>
      <c r="BW30"/>
      <c r="BX30"/>
      <c r="BY30"/>
      <c r="BZ30"/>
      <c r="CB30"/>
      <c r="CC30"/>
      <c r="CD30"/>
      <c r="CF30"/>
      <c r="CG30"/>
      <c r="CH30"/>
      <c r="CJ30"/>
      <c r="CK30"/>
      <c r="CL30"/>
      <c r="CM30"/>
      <c r="CN30"/>
      <c r="CP30"/>
      <c r="CQ30"/>
      <c r="CR30"/>
      <c r="CS30"/>
      <c r="CT30"/>
      <c r="CU30"/>
      <c r="CV30"/>
      <c r="CW30" s="16"/>
      <c r="CX30"/>
      <c r="CY30"/>
      <c r="CZ30"/>
      <c r="DA30"/>
      <c r="DB30"/>
      <c r="DC30"/>
      <c r="DD30"/>
      <c r="DE30"/>
      <c r="DF30"/>
      <c r="DG30"/>
      <c r="DH30"/>
      <c r="DI30"/>
      <c r="DJ30"/>
      <c r="DK30"/>
      <c r="DL30"/>
      <c r="DM30"/>
      <c r="DN30"/>
      <c r="DO30"/>
      <c r="DP30"/>
      <c r="DQ30" s="1">
        <f t="shared" si="0"/>
        <v>0</v>
      </c>
      <c r="DR30" s="1">
        <f t="shared" si="1"/>
        <v>0</v>
      </c>
      <c r="DS30" s="1">
        <f t="shared" si="2"/>
        <v>0</v>
      </c>
      <c r="DT30" s="1">
        <f t="shared" si="3"/>
        <v>0</v>
      </c>
      <c r="DU30" s="1">
        <f t="shared" si="4"/>
        <v>0</v>
      </c>
      <c r="DV30" s="1">
        <f t="shared" si="5"/>
        <v>0</v>
      </c>
      <c r="DW30" s="1">
        <f t="shared" si="6"/>
        <v>0</v>
      </c>
      <c r="DX30" s="1">
        <f t="shared" si="7"/>
        <v>0</v>
      </c>
      <c r="DY30" s="1" t="str">
        <f t="array" ref="DY30">_xlfn.LET(
_xlpm.a,LOWER(TRIM(DQ30&amp;"")),
_xlpm.b,LOWER(TRIM(DR30&amp;"")),
_xlpm.x,_xlfn.IFS(_xlpm.a="0",0,_xlpm.a="none",0,_xlpm.a="moderate",1,_xlpm.a="strong",2),
_xlpm.y,_xlfn.IFS(_xlpm.b="0",0,_xlpm.b="none",0,_xlpm.b="moderate",1,_xlpm.b="strong",2),
_xlpm.d,ABS(_xlpm.x-_xlpm.y),
IF(_xlpm.d=0,"green",IF(_xlpm.d=1,"orange",IF(_xlpm.d=2,"red","check")))
)</f>
        <v>green</v>
      </c>
      <c r="DZ30" s="1" t="str">
        <f t="array" ref="DZ30">_xlfn.LET(
_xlpm.a,LOWER(TRIM(DS30&amp;"")),
_xlpm.b,LOWER(TRIM(DT30&amp;"")),
_xlpm.x,_xlfn.IFS(_xlpm.a="0",0,_xlpm.a="none",0,_xlpm.a="moderate",1,_xlpm.a="strong",2),
_xlpm.y,_xlfn.IFS(_xlpm.b="0",0,_xlpm.b="none",0,_xlpm.b="moderate",1,_xlpm.b="strong",2),
_xlpm.d,ABS(_xlpm.x-_xlpm.y),
IF(_xlpm.d=0,"green",IF(_xlpm.d=1,"orange",IF(_xlpm.d=2,"red","check")))
)</f>
        <v>green</v>
      </c>
      <c r="EA30" s="1" t="str">
        <f t="array" ref="EA30">_xlfn.LET(
_xlpm.a,LOWER(TRIM(DU30&amp;"")),
_xlpm.b,LOWER(TRIM(DV30&amp;"")),
_xlpm.x,_xlfn.IFS(_xlpm.a="0",0,_xlpm.a="none",0,_xlpm.a="moderate",1,_xlpm.a="strong",2),
_xlpm.y,_xlfn.IFS(_xlpm.b="0",0,_xlpm.b="none",0,_xlpm.b="moderate",1,_xlpm.b="strong",2),
_xlpm.d,ABS(_xlpm.x-_xlpm.y),
IF(_xlpm.d=0,"green",IF(_xlpm.d=1,"orange",IF(_xlpm.d=2,"red","check")))
)</f>
        <v>green</v>
      </c>
      <c r="EB30" s="1" t="str">
        <f t="array" ref="EB30">_xlfn.LET(
_xlpm.a,LOWER(TRIM(DW30&amp;"")),
_xlpm.b,LOWER(TRIM(DX30&amp;"")),
_xlpm.x,_xlfn.IFS(_xlpm.a="0",0,_xlpm.a="none",0,_xlpm.a="moderate",1,_xlpm.a="strong",2),
_xlpm.y,_xlfn.IFS(_xlpm.b="0",0,_xlpm.b="none",0,_xlpm.b="moderate",1,_xlpm.b="strong",2),
_xlpm.d,ABS(_xlpm.x-_xlpm.y),
IF(_xlpm.d=0,"green",IF(_xlpm.d=1,"orange",IF(_xlpm.d=2,"red","check")))
)</f>
        <v>green</v>
      </c>
      <c r="EC30"/>
      <c r="ED30"/>
      <c r="EE30"/>
      <c r="EF30"/>
      <c r="EG30"/>
      <c r="EH30"/>
      <c r="EI30"/>
      <c r="EJ30"/>
      <c r="EK30"/>
      <c r="EL30"/>
      <c r="EM30"/>
      <c r="EN30"/>
      <c r="EO30"/>
      <c r="EP30"/>
      <c r="EQ30"/>
      <c r="ER30"/>
      <c r="ES30" s="58" t="str">
        <f t="shared" si="8"/>
        <v/>
      </c>
      <c r="ET30" s="58" t="str">
        <f t="shared" si="9"/>
        <v>No</v>
      </c>
      <c r="EU30" s="59" t="str">
        <f t="shared" si="15"/>
        <v>Uninformative</v>
      </c>
      <c r="EV30" s="59" t="str">
        <f t="shared" si="16"/>
        <v>Uninformative</v>
      </c>
      <c r="EW30" s="59" t="str">
        <f t="shared" si="10"/>
        <v>Uninformative</v>
      </c>
      <c r="EX30" s="58" t="str">
        <f t="shared" si="11"/>
        <v>Uninformative</v>
      </c>
      <c r="EY30" s="58" t="str">
        <f t="shared" si="12"/>
        <v>Uninformative</v>
      </c>
      <c r="EZ30" s="58" t="str">
        <f t="shared" si="13"/>
        <v>Uninformative</v>
      </c>
      <c r="FA30" s="58" t="str">
        <f t="shared" si="14"/>
        <v>No</v>
      </c>
    </row>
    <row r="31" spans="1:164" ht="20" customHeight="1">
      <c r="A31" s="32"/>
      <c r="B31" s="32"/>
      <c r="C31" s="32"/>
      <c r="D31" s="32"/>
      <c r="E31" s="32"/>
      <c r="F31" s="32"/>
      <c r="G31" s="32"/>
      <c r="H31" s="32"/>
      <c r="I31" s="32"/>
      <c r="J31" s="32"/>
      <c r="K31" s="32"/>
      <c r="L31" s="32"/>
      <c r="M31" s="32"/>
      <c r="N31" s="32"/>
      <c r="O31" s="32"/>
      <c r="P31" s="32"/>
      <c r="Q31" s="32"/>
      <c r="R31" s="32"/>
      <c r="S31" s="32"/>
      <c r="T31" s="32"/>
      <c r="U31" s="32"/>
      <c r="V31" s="32"/>
      <c r="W31" s="32"/>
      <c r="X31"/>
      <c r="Y31"/>
      <c r="Z31"/>
      <c r="AA31"/>
      <c r="AB31"/>
      <c r="AC31"/>
      <c r="AD31"/>
      <c r="AE31"/>
      <c r="AG31"/>
      <c r="AH31"/>
      <c r="AI31"/>
      <c r="AJ31"/>
      <c r="AK31"/>
      <c r="AL31"/>
      <c r="AM31"/>
      <c r="AN31"/>
      <c r="AO31"/>
      <c r="AP31"/>
      <c r="AQ31"/>
      <c r="AR31"/>
      <c r="AS31"/>
      <c r="AT31"/>
      <c r="AU31"/>
      <c r="AV31"/>
      <c r="AW31"/>
      <c r="AX31"/>
      <c r="AY31"/>
      <c r="AZ31"/>
      <c r="BA31"/>
      <c r="BB31"/>
      <c r="BC31"/>
      <c r="BD31"/>
      <c r="BE31"/>
      <c r="BF31"/>
      <c r="BG31"/>
      <c r="BH31"/>
      <c r="BI31"/>
      <c r="BJ31"/>
      <c r="BK31"/>
      <c r="BL31"/>
      <c r="BQ31"/>
      <c r="BR31"/>
      <c r="BS31"/>
      <c r="BT31"/>
      <c r="BU31"/>
      <c r="BV31"/>
      <c r="BW31"/>
      <c r="BX31"/>
      <c r="BY31"/>
      <c r="BZ31"/>
      <c r="CB31"/>
      <c r="CC31"/>
      <c r="CD31"/>
      <c r="CF31"/>
      <c r="CG31"/>
      <c r="CH31"/>
      <c r="CJ31"/>
      <c r="CK31"/>
      <c r="CL31"/>
      <c r="CM31"/>
      <c r="CN31"/>
      <c r="CP31"/>
      <c r="CQ31"/>
      <c r="CR31"/>
      <c r="CS31"/>
      <c r="CT31"/>
      <c r="CU31"/>
      <c r="CV31"/>
      <c r="CW31"/>
      <c r="CX31"/>
      <c r="CY31"/>
      <c r="CZ31"/>
      <c r="DA31"/>
      <c r="DB31"/>
      <c r="DC31"/>
      <c r="DD31"/>
      <c r="DE31"/>
      <c r="DF31"/>
      <c r="DG31"/>
      <c r="DH31"/>
      <c r="DI31"/>
      <c r="DJ31"/>
      <c r="DK31"/>
      <c r="DL31"/>
      <c r="DM31"/>
      <c r="DN31"/>
      <c r="DO31"/>
      <c r="DP31"/>
      <c r="DQ31" s="1">
        <f t="shared" si="0"/>
        <v>0</v>
      </c>
      <c r="DR31" s="1">
        <f t="shared" si="1"/>
        <v>0</v>
      </c>
      <c r="DS31" s="1">
        <f t="shared" si="2"/>
        <v>0</v>
      </c>
      <c r="DT31" s="1">
        <f t="shared" si="3"/>
        <v>0</v>
      </c>
      <c r="DU31" s="1">
        <f t="shared" si="4"/>
        <v>0</v>
      </c>
      <c r="DV31" s="1">
        <f t="shared" si="5"/>
        <v>0</v>
      </c>
      <c r="DW31" s="1">
        <f t="shared" si="6"/>
        <v>0</v>
      </c>
      <c r="DX31" s="1">
        <f t="shared" si="7"/>
        <v>0</v>
      </c>
      <c r="DY31" s="1" t="str">
        <f t="array" ref="DY31">_xlfn.LET(
_xlpm.a,LOWER(TRIM(DQ31&amp;"")),
_xlpm.b,LOWER(TRIM(DR31&amp;"")),
_xlpm.x,_xlfn.IFS(_xlpm.a="0",0,_xlpm.a="none",0,_xlpm.a="moderate",1,_xlpm.a="strong",2),
_xlpm.y,_xlfn.IFS(_xlpm.b="0",0,_xlpm.b="none",0,_xlpm.b="moderate",1,_xlpm.b="strong",2),
_xlpm.d,ABS(_xlpm.x-_xlpm.y),
IF(_xlpm.d=0,"green",IF(_xlpm.d=1,"orange",IF(_xlpm.d=2,"red","check")))
)</f>
        <v>green</v>
      </c>
      <c r="DZ31" s="1" t="str">
        <f t="array" ref="DZ31">_xlfn.LET(
_xlpm.a,LOWER(TRIM(DS31&amp;"")),
_xlpm.b,LOWER(TRIM(DT31&amp;"")),
_xlpm.x,_xlfn.IFS(_xlpm.a="0",0,_xlpm.a="none",0,_xlpm.a="moderate",1,_xlpm.a="strong",2),
_xlpm.y,_xlfn.IFS(_xlpm.b="0",0,_xlpm.b="none",0,_xlpm.b="moderate",1,_xlpm.b="strong",2),
_xlpm.d,ABS(_xlpm.x-_xlpm.y),
IF(_xlpm.d=0,"green",IF(_xlpm.d=1,"orange",IF(_xlpm.d=2,"red","check")))
)</f>
        <v>green</v>
      </c>
      <c r="EA31" s="1" t="str">
        <f t="array" ref="EA31">_xlfn.LET(
_xlpm.a,LOWER(TRIM(DU31&amp;"")),
_xlpm.b,LOWER(TRIM(DV31&amp;"")),
_xlpm.x,_xlfn.IFS(_xlpm.a="0",0,_xlpm.a="none",0,_xlpm.a="moderate",1,_xlpm.a="strong",2),
_xlpm.y,_xlfn.IFS(_xlpm.b="0",0,_xlpm.b="none",0,_xlpm.b="moderate",1,_xlpm.b="strong",2),
_xlpm.d,ABS(_xlpm.x-_xlpm.y),
IF(_xlpm.d=0,"green",IF(_xlpm.d=1,"orange",IF(_xlpm.d=2,"red","check")))
)</f>
        <v>green</v>
      </c>
      <c r="EB31" s="1" t="str">
        <f t="array" ref="EB31">_xlfn.LET(
_xlpm.a,LOWER(TRIM(DW31&amp;"")),
_xlpm.b,LOWER(TRIM(DX31&amp;"")),
_xlpm.x,_xlfn.IFS(_xlpm.a="0",0,_xlpm.a="none",0,_xlpm.a="moderate",1,_xlpm.a="strong",2),
_xlpm.y,_xlfn.IFS(_xlpm.b="0",0,_xlpm.b="none",0,_xlpm.b="moderate",1,_xlpm.b="strong",2),
_xlpm.d,ABS(_xlpm.x-_xlpm.y),
IF(_xlpm.d=0,"green",IF(_xlpm.d=1,"orange",IF(_xlpm.d=2,"red","check")))
)</f>
        <v>green</v>
      </c>
      <c r="EC31"/>
      <c r="ED31"/>
      <c r="EE31"/>
      <c r="EF31"/>
      <c r="EG31"/>
      <c r="EH31"/>
      <c r="EI31"/>
      <c r="EJ31"/>
      <c r="EK31"/>
      <c r="EL31"/>
      <c r="EM31"/>
      <c r="EN31"/>
      <c r="EO31"/>
      <c r="EP31"/>
      <c r="EQ31"/>
      <c r="ER31"/>
      <c r="ES31" s="58" t="str">
        <f t="shared" si="8"/>
        <v/>
      </c>
      <c r="ET31" s="58" t="str">
        <f t="shared" si="9"/>
        <v>No</v>
      </c>
      <c r="EU31" s="59" t="str">
        <f t="shared" si="15"/>
        <v>Uninformative</v>
      </c>
      <c r="EV31" s="59" t="str">
        <f t="shared" si="16"/>
        <v>Uninformative</v>
      </c>
      <c r="EW31" s="59" t="str">
        <f t="shared" si="10"/>
        <v>Uninformative</v>
      </c>
      <c r="EX31" s="58" t="str">
        <f t="shared" si="11"/>
        <v>Uninformative</v>
      </c>
      <c r="EY31" s="58" t="str">
        <f t="shared" si="12"/>
        <v>Uninformative</v>
      </c>
      <c r="EZ31" s="58" t="str">
        <f t="shared" si="13"/>
        <v>Uninformative</v>
      </c>
      <c r="FA31" s="58" t="str">
        <f t="shared" si="14"/>
        <v>No</v>
      </c>
    </row>
    <row r="32" spans="1:164" ht="20" customHeight="1">
      <c r="A32" s="32"/>
      <c r="B32" s="32"/>
      <c r="C32" s="32"/>
      <c r="D32" s="32"/>
      <c r="E32" s="32"/>
      <c r="F32" s="32"/>
      <c r="G32" s="32"/>
      <c r="H32" s="32"/>
      <c r="I32" s="32"/>
      <c r="J32" s="32"/>
      <c r="K32" s="32"/>
      <c r="L32" s="32"/>
      <c r="M32" s="32"/>
      <c r="N32" s="32"/>
      <c r="O32" s="32"/>
      <c r="P32" s="32"/>
      <c r="Q32" s="32"/>
      <c r="R32" s="32"/>
      <c r="S32" s="32"/>
      <c r="T32" s="32"/>
      <c r="U32" s="32"/>
      <c r="V32" s="32"/>
      <c r="W32" s="32"/>
      <c r="X32"/>
      <c r="Y32"/>
      <c r="Z32"/>
      <c r="AA32"/>
      <c r="AB32"/>
      <c r="AC32"/>
      <c r="AD32"/>
      <c r="AE32"/>
      <c r="AG32"/>
      <c r="AH32"/>
      <c r="AI32"/>
      <c r="AJ32"/>
      <c r="AK32"/>
      <c r="AL32"/>
      <c r="AM32"/>
      <c r="AN32"/>
      <c r="AO32"/>
      <c r="AP32"/>
      <c r="AQ32"/>
      <c r="AR32"/>
      <c r="AS32"/>
      <c r="AT32"/>
      <c r="AU32"/>
      <c r="AV32"/>
      <c r="AW32"/>
      <c r="AX32"/>
      <c r="AY32"/>
      <c r="AZ32"/>
      <c r="BA32"/>
      <c r="BB32"/>
      <c r="BC32"/>
      <c r="BD32"/>
      <c r="BE32"/>
      <c r="BF32"/>
      <c r="BG32"/>
      <c r="BH32"/>
      <c r="BI32"/>
      <c r="BJ32"/>
      <c r="BK32"/>
      <c r="BL32"/>
      <c r="BQ32"/>
      <c r="BR32"/>
      <c r="BS32"/>
      <c r="BT32"/>
      <c r="BU32"/>
      <c r="BV32"/>
      <c r="BW32"/>
      <c r="BX32"/>
      <c r="BY32"/>
      <c r="BZ32"/>
      <c r="CB32"/>
      <c r="CC32"/>
      <c r="CD32"/>
      <c r="CF32"/>
      <c r="CG32"/>
      <c r="CH32"/>
      <c r="CJ32"/>
      <c r="CK32"/>
      <c r="CL32"/>
      <c r="CM32"/>
      <c r="CN32"/>
      <c r="CP32"/>
      <c r="CQ32"/>
      <c r="CR32"/>
      <c r="CS32"/>
      <c r="CT32"/>
      <c r="CU32"/>
      <c r="CV32"/>
      <c r="CW32"/>
      <c r="CX32"/>
      <c r="CY32"/>
      <c r="CZ32"/>
      <c r="DA32"/>
      <c r="DB32"/>
      <c r="DC32"/>
      <c r="DD32"/>
      <c r="DE32"/>
      <c r="DF32"/>
      <c r="DG32"/>
      <c r="DH32"/>
      <c r="DI32"/>
      <c r="DJ32"/>
      <c r="DK32"/>
      <c r="DL32"/>
      <c r="DM32"/>
      <c r="DN32"/>
      <c r="DO32"/>
      <c r="DP32"/>
      <c r="DQ32" s="1">
        <f t="shared" si="0"/>
        <v>0</v>
      </c>
      <c r="DR32" s="1">
        <f t="shared" si="1"/>
        <v>0</v>
      </c>
      <c r="DS32" s="1">
        <f t="shared" si="2"/>
        <v>0</v>
      </c>
      <c r="DT32" s="1">
        <f t="shared" si="3"/>
        <v>0</v>
      </c>
      <c r="DU32" s="1">
        <f t="shared" si="4"/>
        <v>0</v>
      </c>
      <c r="DV32" s="1">
        <f t="shared" si="5"/>
        <v>0</v>
      </c>
      <c r="DW32" s="1">
        <f t="shared" si="6"/>
        <v>0</v>
      </c>
      <c r="DX32" s="1">
        <f t="shared" si="7"/>
        <v>0</v>
      </c>
      <c r="DY32" s="1" t="str">
        <f t="array" ref="DY32">_xlfn.LET(
_xlpm.a,LOWER(TRIM(DQ32&amp;"")),
_xlpm.b,LOWER(TRIM(DR32&amp;"")),
_xlpm.x,_xlfn.IFS(_xlpm.a="0",0,_xlpm.a="none",0,_xlpm.a="moderate",1,_xlpm.a="strong",2),
_xlpm.y,_xlfn.IFS(_xlpm.b="0",0,_xlpm.b="none",0,_xlpm.b="moderate",1,_xlpm.b="strong",2),
_xlpm.d,ABS(_xlpm.x-_xlpm.y),
IF(_xlpm.d=0,"green",IF(_xlpm.d=1,"orange",IF(_xlpm.d=2,"red","check")))
)</f>
        <v>green</v>
      </c>
      <c r="DZ32" s="1" t="str">
        <f t="array" ref="DZ32">_xlfn.LET(
_xlpm.a,LOWER(TRIM(DS32&amp;"")),
_xlpm.b,LOWER(TRIM(DT32&amp;"")),
_xlpm.x,_xlfn.IFS(_xlpm.a="0",0,_xlpm.a="none",0,_xlpm.a="moderate",1,_xlpm.a="strong",2),
_xlpm.y,_xlfn.IFS(_xlpm.b="0",0,_xlpm.b="none",0,_xlpm.b="moderate",1,_xlpm.b="strong",2),
_xlpm.d,ABS(_xlpm.x-_xlpm.y),
IF(_xlpm.d=0,"green",IF(_xlpm.d=1,"orange",IF(_xlpm.d=2,"red","check")))
)</f>
        <v>green</v>
      </c>
      <c r="EA32" s="1" t="str">
        <f t="array" ref="EA32">_xlfn.LET(
_xlpm.a,LOWER(TRIM(DU32&amp;"")),
_xlpm.b,LOWER(TRIM(DV32&amp;"")),
_xlpm.x,_xlfn.IFS(_xlpm.a="0",0,_xlpm.a="none",0,_xlpm.a="moderate",1,_xlpm.a="strong",2),
_xlpm.y,_xlfn.IFS(_xlpm.b="0",0,_xlpm.b="none",0,_xlpm.b="moderate",1,_xlpm.b="strong",2),
_xlpm.d,ABS(_xlpm.x-_xlpm.y),
IF(_xlpm.d=0,"green",IF(_xlpm.d=1,"orange",IF(_xlpm.d=2,"red","check")))
)</f>
        <v>green</v>
      </c>
      <c r="EB32" s="1" t="str">
        <f t="array" ref="EB32">_xlfn.LET(
_xlpm.a,LOWER(TRIM(DW32&amp;"")),
_xlpm.b,LOWER(TRIM(DX32&amp;"")),
_xlpm.x,_xlfn.IFS(_xlpm.a="0",0,_xlpm.a="none",0,_xlpm.a="moderate",1,_xlpm.a="strong",2),
_xlpm.y,_xlfn.IFS(_xlpm.b="0",0,_xlpm.b="none",0,_xlpm.b="moderate",1,_xlpm.b="strong",2),
_xlpm.d,ABS(_xlpm.x-_xlpm.y),
IF(_xlpm.d=0,"green",IF(_xlpm.d=1,"orange",IF(_xlpm.d=2,"red","check")))
)</f>
        <v>green</v>
      </c>
      <c r="EC32"/>
      <c r="ED32"/>
      <c r="EE32"/>
      <c r="EF32"/>
      <c r="EG32"/>
      <c r="EH32"/>
      <c r="EI32"/>
      <c r="EJ32"/>
      <c r="EK32"/>
      <c r="EL32"/>
      <c r="EM32"/>
      <c r="EN32"/>
      <c r="EO32"/>
      <c r="EP32"/>
      <c r="EQ32"/>
      <c r="ER32"/>
      <c r="ES32" s="58" t="str">
        <f t="shared" si="8"/>
        <v/>
      </c>
      <c r="ET32" s="58" t="str">
        <f t="shared" si="9"/>
        <v>No</v>
      </c>
      <c r="EU32" s="59" t="str">
        <f t="shared" si="15"/>
        <v>Uninformative</v>
      </c>
      <c r="EV32" s="59" t="str">
        <f t="shared" si="16"/>
        <v>Uninformative</v>
      </c>
      <c r="EW32" s="59" t="str">
        <f t="shared" si="10"/>
        <v>Uninformative</v>
      </c>
      <c r="EX32" s="58" t="str">
        <f t="shared" si="11"/>
        <v>Uninformative</v>
      </c>
      <c r="EY32" s="58" t="str">
        <f t="shared" si="12"/>
        <v>Uninformative</v>
      </c>
      <c r="EZ32" s="58" t="str">
        <f t="shared" si="13"/>
        <v>Uninformative</v>
      </c>
      <c r="FA32" s="58" t="str">
        <f t="shared" si="14"/>
        <v>No</v>
      </c>
    </row>
    <row r="33" spans="1:157" ht="20" customHeight="1">
      <c r="A33" s="32"/>
      <c r="B33" s="32"/>
      <c r="C33" s="32"/>
      <c r="D33" s="32"/>
      <c r="E33" s="32"/>
      <c r="F33" s="32"/>
      <c r="G33" s="32"/>
      <c r="H33" s="32"/>
      <c r="I33" s="32"/>
      <c r="J33" s="32"/>
      <c r="K33" s="32"/>
      <c r="L33" s="32"/>
      <c r="M33" s="32"/>
      <c r="N33" s="32"/>
      <c r="O33" s="32"/>
      <c r="P33" s="32"/>
      <c r="Q33" s="32"/>
      <c r="R33" s="32"/>
      <c r="S33" s="32"/>
      <c r="T33" s="32"/>
      <c r="U33" s="32"/>
      <c r="V33" s="32"/>
      <c r="W33" s="32"/>
      <c r="X33"/>
      <c r="Y33"/>
      <c r="Z33"/>
      <c r="AA33"/>
      <c r="AB33"/>
      <c r="AC33"/>
      <c r="AD33"/>
      <c r="AE33"/>
      <c r="AG33"/>
      <c r="AH33"/>
      <c r="AI33"/>
      <c r="AJ33"/>
      <c r="AK33"/>
      <c r="AL33"/>
      <c r="CZ33"/>
      <c r="DA33"/>
      <c r="DB33"/>
      <c r="DC33"/>
      <c r="DD33"/>
      <c r="DE33"/>
      <c r="DF33"/>
      <c r="DG33"/>
      <c r="DH33"/>
      <c r="DI33"/>
      <c r="DJ33"/>
      <c r="DK33"/>
      <c r="DL33"/>
      <c r="DM33"/>
      <c r="DN33"/>
      <c r="DO33"/>
      <c r="DP33"/>
      <c r="DQ33" s="1">
        <f t="shared" si="0"/>
        <v>0</v>
      </c>
      <c r="DR33" s="1">
        <f t="shared" si="1"/>
        <v>0</v>
      </c>
      <c r="DS33" s="1">
        <f t="shared" si="2"/>
        <v>0</v>
      </c>
      <c r="DT33" s="1">
        <f t="shared" si="3"/>
        <v>0</v>
      </c>
      <c r="DU33" s="1">
        <f t="shared" si="4"/>
        <v>0</v>
      </c>
      <c r="DV33" s="1">
        <f t="shared" si="5"/>
        <v>0</v>
      </c>
      <c r="DW33" s="1">
        <f t="shared" si="6"/>
        <v>0</v>
      </c>
      <c r="DX33" s="1">
        <f t="shared" si="7"/>
        <v>0</v>
      </c>
      <c r="DY33" s="1" t="str">
        <f t="array" ref="DY33">_xlfn.LET(
_xlpm.a,LOWER(TRIM(DQ33&amp;"")),
_xlpm.b,LOWER(TRIM(DR33&amp;"")),
_xlpm.x,_xlfn.IFS(_xlpm.a="0",0,_xlpm.a="none",0,_xlpm.a="moderate",1,_xlpm.a="strong",2),
_xlpm.y,_xlfn.IFS(_xlpm.b="0",0,_xlpm.b="none",0,_xlpm.b="moderate",1,_xlpm.b="strong",2),
_xlpm.d,ABS(_xlpm.x-_xlpm.y),
IF(_xlpm.d=0,"green",IF(_xlpm.d=1,"orange",IF(_xlpm.d=2,"red","check")))
)</f>
        <v>green</v>
      </c>
      <c r="DZ33" s="1" t="str">
        <f t="array" ref="DZ33">_xlfn.LET(
_xlpm.a,LOWER(TRIM(DS33&amp;"")),
_xlpm.b,LOWER(TRIM(DT33&amp;"")),
_xlpm.x,_xlfn.IFS(_xlpm.a="0",0,_xlpm.a="none",0,_xlpm.a="moderate",1,_xlpm.a="strong",2),
_xlpm.y,_xlfn.IFS(_xlpm.b="0",0,_xlpm.b="none",0,_xlpm.b="moderate",1,_xlpm.b="strong",2),
_xlpm.d,ABS(_xlpm.x-_xlpm.y),
IF(_xlpm.d=0,"green",IF(_xlpm.d=1,"orange",IF(_xlpm.d=2,"red","check")))
)</f>
        <v>green</v>
      </c>
      <c r="EA33" s="1" t="str">
        <f t="array" ref="EA33">_xlfn.LET(
_xlpm.a,LOWER(TRIM(DU33&amp;"")),
_xlpm.b,LOWER(TRIM(DV33&amp;"")),
_xlpm.x,_xlfn.IFS(_xlpm.a="0",0,_xlpm.a="none",0,_xlpm.a="moderate",1,_xlpm.a="strong",2),
_xlpm.y,_xlfn.IFS(_xlpm.b="0",0,_xlpm.b="none",0,_xlpm.b="moderate",1,_xlpm.b="strong",2),
_xlpm.d,ABS(_xlpm.x-_xlpm.y),
IF(_xlpm.d=0,"green",IF(_xlpm.d=1,"orange",IF(_xlpm.d=2,"red","check")))
)</f>
        <v>green</v>
      </c>
      <c r="EB33" s="1" t="str">
        <f t="array" ref="EB33">_xlfn.LET(
_xlpm.a,LOWER(TRIM(DW33&amp;"")),
_xlpm.b,LOWER(TRIM(DX33&amp;"")),
_xlpm.x,_xlfn.IFS(_xlpm.a="0",0,_xlpm.a="none",0,_xlpm.a="moderate",1,_xlpm.a="strong",2),
_xlpm.y,_xlfn.IFS(_xlpm.b="0",0,_xlpm.b="none",0,_xlpm.b="moderate",1,_xlpm.b="strong",2),
_xlpm.d,ABS(_xlpm.x-_xlpm.y),
IF(_xlpm.d=0,"green",IF(_xlpm.d=1,"orange",IF(_xlpm.d=2,"red","check")))
)</f>
        <v>green</v>
      </c>
      <c r="EC33"/>
      <c r="ED33"/>
      <c r="EE33"/>
      <c r="EF33"/>
      <c r="EG33"/>
      <c r="EH33"/>
      <c r="EI33"/>
      <c r="EJ33"/>
      <c r="EK33"/>
      <c r="EL33"/>
      <c r="EM33"/>
      <c r="EN33"/>
      <c r="EO33"/>
      <c r="EP33"/>
      <c r="EQ33"/>
      <c r="ER33"/>
      <c r="ES33" s="58" t="str">
        <f t="shared" si="8"/>
        <v/>
      </c>
      <c r="ET33" s="58" t="str">
        <f t="shared" si="9"/>
        <v>No</v>
      </c>
      <c r="EU33" s="59" t="str">
        <f t="shared" si="15"/>
        <v>Uninformative</v>
      </c>
      <c r="EV33" s="59" t="str">
        <f t="shared" si="16"/>
        <v>Uninformative</v>
      </c>
      <c r="EW33" s="59" t="str">
        <f t="shared" si="10"/>
        <v>Uninformative</v>
      </c>
      <c r="EX33" s="58" t="str">
        <f t="shared" si="11"/>
        <v>Uninformative</v>
      </c>
      <c r="EY33" s="58" t="str">
        <f t="shared" si="12"/>
        <v>Uninformative</v>
      </c>
      <c r="EZ33" s="58" t="str">
        <f t="shared" si="13"/>
        <v>Uninformative</v>
      </c>
      <c r="FA33" s="58" t="str">
        <f t="shared" si="14"/>
        <v>No</v>
      </c>
    </row>
    <row r="34" spans="1:157" ht="20" customHeight="1">
      <c r="A34" s="32"/>
      <c r="B34" s="32"/>
      <c r="C34" s="32"/>
      <c r="D34" s="32"/>
      <c r="E34" s="32"/>
      <c r="F34" s="32"/>
      <c r="G34" s="32"/>
      <c r="H34" s="32"/>
      <c r="I34" s="32"/>
      <c r="J34" s="32"/>
      <c r="K34" s="32"/>
      <c r="L34" s="32"/>
      <c r="M34" s="32"/>
      <c r="N34" s="32"/>
      <c r="O34" s="32"/>
      <c r="P34" s="32"/>
      <c r="Q34" s="32"/>
      <c r="R34" s="32"/>
      <c r="S34" s="32"/>
      <c r="T34" s="32"/>
      <c r="U34" s="32"/>
      <c r="V34" s="32"/>
      <c r="W34" s="32"/>
      <c r="X34"/>
      <c r="Y34"/>
      <c r="Z34"/>
      <c r="AA34"/>
      <c r="AB34"/>
      <c r="AC34"/>
      <c r="AD34"/>
      <c r="AE34"/>
      <c r="AG34"/>
      <c r="AH34"/>
      <c r="AI34"/>
      <c r="AJ34"/>
      <c r="AK34"/>
      <c r="AL34"/>
      <c r="AM34"/>
      <c r="AN34"/>
      <c r="AO34"/>
      <c r="AP34"/>
      <c r="AQ34"/>
      <c r="AR34"/>
      <c r="AS34"/>
      <c r="AT34"/>
      <c r="AU34"/>
      <c r="AV34"/>
      <c r="AW34"/>
      <c r="AX34"/>
      <c r="AY34"/>
      <c r="AZ34"/>
      <c r="BU34"/>
      <c r="BV34"/>
      <c r="BW34"/>
      <c r="BX34"/>
      <c r="BY34"/>
      <c r="BZ34"/>
      <c r="CB34"/>
      <c r="CC34"/>
      <c r="CD34"/>
      <c r="CF34"/>
      <c r="CG34"/>
      <c r="CH34"/>
      <c r="CJ34"/>
      <c r="CK34"/>
      <c r="CQ34"/>
      <c r="CR34"/>
      <c r="CS34"/>
      <c r="CT34"/>
      <c r="CU34"/>
      <c r="CV34"/>
      <c r="CW34"/>
      <c r="CX34"/>
      <c r="CY34"/>
      <c r="CZ34"/>
      <c r="DA34"/>
      <c r="DB34"/>
      <c r="DC34"/>
      <c r="DD34"/>
      <c r="DE34"/>
      <c r="DF34"/>
      <c r="DG34"/>
      <c r="DH34"/>
      <c r="DI34"/>
      <c r="DJ34"/>
      <c r="DK34"/>
      <c r="DL34"/>
      <c r="DM34"/>
      <c r="DN34"/>
      <c r="DO34"/>
      <c r="DP34"/>
      <c r="DQ34" s="1">
        <f t="shared" si="0"/>
        <v>0</v>
      </c>
      <c r="DR34" s="1">
        <f t="shared" si="1"/>
        <v>0</v>
      </c>
      <c r="DS34" s="1">
        <f t="shared" si="2"/>
        <v>0</v>
      </c>
      <c r="DT34" s="1">
        <f t="shared" si="3"/>
        <v>0</v>
      </c>
      <c r="DU34" s="1">
        <f t="shared" si="4"/>
        <v>0</v>
      </c>
      <c r="DV34" s="1">
        <f t="shared" si="5"/>
        <v>0</v>
      </c>
      <c r="DW34" s="1">
        <f t="shared" si="6"/>
        <v>0</v>
      </c>
      <c r="DX34" s="1">
        <f t="shared" si="7"/>
        <v>0</v>
      </c>
      <c r="DY34" s="1" t="str">
        <f t="array" ref="DY34">_xlfn.LET(
_xlpm.a,LOWER(TRIM(DQ34&amp;"")),
_xlpm.b,LOWER(TRIM(DR34&amp;"")),
_xlpm.x,_xlfn.IFS(_xlpm.a="0",0,_xlpm.a="none",0,_xlpm.a="moderate",1,_xlpm.a="strong",2),
_xlpm.y,_xlfn.IFS(_xlpm.b="0",0,_xlpm.b="none",0,_xlpm.b="moderate",1,_xlpm.b="strong",2),
_xlpm.d,ABS(_xlpm.x-_xlpm.y),
IF(_xlpm.d=0,"green",IF(_xlpm.d=1,"orange",IF(_xlpm.d=2,"red","check")))
)</f>
        <v>green</v>
      </c>
      <c r="DZ34" s="1" t="str">
        <f t="array" ref="DZ34">_xlfn.LET(
_xlpm.a,LOWER(TRIM(DS34&amp;"")),
_xlpm.b,LOWER(TRIM(DT34&amp;"")),
_xlpm.x,_xlfn.IFS(_xlpm.a="0",0,_xlpm.a="none",0,_xlpm.a="moderate",1,_xlpm.a="strong",2),
_xlpm.y,_xlfn.IFS(_xlpm.b="0",0,_xlpm.b="none",0,_xlpm.b="moderate",1,_xlpm.b="strong",2),
_xlpm.d,ABS(_xlpm.x-_xlpm.y),
IF(_xlpm.d=0,"green",IF(_xlpm.d=1,"orange",IF(_xlpm.d=2,"red","check")))
)</f>
        <v>green</v>
      </c>
      <c r="EA34" s="1" t="str">
        <f t="array" ref="EA34">_xlfn.LET(
_xlpm.a,LOWER(TRIM(DU34&amp;"")),
_xlpm.b,LOWER(TRIM(DV34&amp;"")),
_xlpm.x,_xlfn.IFS(_xlpm.a="0",0,_xlpm.a="none",0,_xlpm.a="moderate",1,_xlpm.a="strong",2),
_xlpm.y,_xlfn.IFS(_xlpm.b="0",0,_xlpm.b="none",0,_xlpm.b="moderate",1,_xlpm.b="strong",2),
_xlpm.d,ABS(_xlpm.x-_xlpm.y),
IF(_xlpm.d=0,"green",IF(_xlpm.d=1,"orange",IF(_xlpm.d=2,"red","check")))
)</f>
        <v>green</v>
      </c>
      <c r="EB34" s="1" t="str">
        <f t="array" ref="EB34">_xlfn.LET(
_xlpm.a,LOWER(TRIM(DW34&amp;"")),
_xlpm.b,LOWER(TRIM(DX34&amp;"")),
_xlpm.x,_xlfn.IFS(_xlpm.a="0",0,_xlpm.a="none",0,_xlpm.a="moderate",1,_xlpm.a="strong",2),
_xlpm.y,_xlfn.IFS(_xlpm.b="0",0,_xlpm.b="none",0,_xlpm.b="moderate",1,_xlpm.b="strong",2),
_xlpm.d,ABS(_xlpm.x-_xlpm.y),
IF(_xlpm.d=0,"green",IF(_xlpm.d=1,"orange",IF(_xlpm.d=2,"red","check")))
)</f>
        <v>green</v>
      </c>
      <c r="EC34"/>
      <c r="ED34"/>
      <c r="EE34"/>
      <c r="EF34"/>
      <c r="EG34"/>
      <c r="EH34"/>
      <c r="EI34"/>
      <c r="EJ34"/>
      <c r="EK34"/>
      <c r="EL34"/>
      <c r="EM34"/>
      <c r="EN34"/>
      <c r="EO34"/>
      <c r="EP34"/>
      <c r="EQ34"/>
      <c r="ER34"/>
      <c r="ES34" s="58" t="str">
        <f t="shared" si="8"/>
        <v/>
      </c>
      <c r="ET34" s="58" t="str">
        <f t="shared" si="9"/>
        <v>No</v>
      </c>
      <c r="EU34" s="59" t="str">
        <f t="shared" si="15"/>
        <v>Uninformative</v>
      </c>
      <c r="EV34" s="59" t="str">
        <f t="shared" si="16"/>
        <v>Uninformative</v>
      </c>
      <c r="EW34" s="59" t="str">
        <f t="shared" si="10"/>
        <v>Uninformative</v>
      </c>
      <c r="EX34" s="58" t="str">
        <f t="shared" si="11"/>
        <v>Uninformative</v>
      </c>
      <c r="EY34" s="58" t="str">
        <f t="shared" si="12"/>
        <v>Uninformative</v>
      </c>
      <c r="EZ34" s="58" t="str">
        <f t="shared" si="13"/>
        <v>Uninformative</v>
      </c>
      <c r="FA34" s="58" t="str">
        <f t="shared" si="14"/>
        <v>No</v>
      </c>
    </row>
    <row r="35" spans="1:157" ht="20" customHeight="1">
      <c r="A35" s="32"/>
      <c r="B35" s="32"/>
      <c r="C35" s="32"/>
      <c r="D35" s="32"/>
      <c r="E35" s="32"/>
      <c r="F35" s="32"/>
      <c r="G35" s="32"/>
      <c r="H35" s="32"/>
      <c r="I35" s="32"/>
      <c r="J35" s="32"/>
      <c r="K35" s="32"/>
      <c r="L35" s="32"/>
      <c r="M35" s="32"/>
      <c r="N35" s="32"/>
      <c r="O35" s="32"/>
      <c r="P35" s="32"/>
      <c r="Q35" s="32"/>
      <c r="R35" s="32"/>
      <c r="S35" s="32"/>
      <c r="T35" s="32"/>
      <c r="U35" s="32"/>
      <c r="V35" s="32"/>
      <c r="W35" s="32"/>
      <c r="X35"/>
      <c r="Y35"/>
      <c r="Z35"/>
      <c r="AA35"/>
      <c r="AB35"/>
      <c r="AC35"/>
      <c r="AD35"/>
      <c r="AE35"/>
      <c r="AG35"/>
      <c r="AH35"/>
      <c r="AI35"/>
      <c r="AJ35"/>
      <c r="AK35"/>
      <c r="AL35"/>
      <c r="AM35"/>
      <c r="AN35"/>
      <c r="AO35"/>
      <c r="AP35"/>
      <c r="AQ35"/>
      <c r="AR35"/>
      <c r="AS35"/>
      <c r="AT35"/>
      <c r="AU35"/>
      <c r="AV35"/>
      <c r="AW35"/>
      <c r="AX35"/>
      <c r="AY35"/>
      <c r="AZ35"/>
      <c r="BA35"/>
      <c r="BB35"/>
      <c r="BC35"/>
      <c r="BD35"/>
      <c r="BE35"/>
      <c r="BF35"/>
      <c r="BG35"/>
      <c r="BH35"/>
      <c r="BI35"/>
      <c r="BJ35"/>
      <c r="BK35"/>
      <c r="BL35"/>
      <c r="BQ35"/>
      <c r="BR35"/>
      <c r="BS35"/>
      <c r="BT35"/>
      <c r="BU35"/>
      <c r="BV35"/>
      <c r="BW35"/>
      <c r="BX35"/>
      <c r="BY35"/>
      <c r="BZ35"/>
      <c r="CB35"/>
      <c r="CC35"/>
      <c r="CD35"/>
      <c r="CF35"/>
      <c r="CG35"/>
      <c r="CH35"/>
      <c r="CJ35"/>
      <c r="CK35"/>
      <c r="CL35"/>
      <c r="CM35"/>
      <c r="CN35"/>
      <c r="CP35"/>
      <c r="CQ35"/>
      <c r="CR35"/>
      <c r="CS35"/>
      <c r="CT35"/>
      <c r="CU35"/>
      <c r="CV35"/>
      <c r="CW35"/>
      <c r="CX35"/>
      <c r="CY35"/>
      <c r="CZ35"/>
      <c r="DA35"/>
      <c r="DB35"/>
      <c r="DC35"/>
      <c r="DD35"/>
      <c r="DE35"/>
      <c r="DF35"/>
      <c r="DG35"/>
      <c r="DH35"/>
      <c r="DI35"/>
      <c r="DJ35"/>
      <c r="DK35"/>
      <c r="DL35"/>
      <c r="DM35"/>
      <c r="DN35"/>
      <c r="DO35"/>
      <c r="DP35"/>
      <c r="DQ35" s="1">
        <f t="shared" ref="DQ35:DQ66" si="17">CR35</f>
        <v>0</v>
      </c>
      <c r="DR35" s="1">
        <f t="shared" ref="DR35:DR66" si="18">DB35</f>
        <v>0</v>
      </c>
      <c r="DS35" s="1">
        <f t="shared" ref="DS35:DS66" si="19">CT35</f>
        <v>0</v>
      </c>
      <c r="DT35" s="1">
        <f t="shared" ref="DT35:DT66" si="20">DF35</f>
        <v>0</v>
      </c>
      <c r="DU35" s="1">
        <f t="shared" ref="DU35:DU66" si="21">CV35</f>
        <v>0</v>
      </c>
      <c r="DV35" s="1">
        <f t="shared" ref="DV35:DV66" si="22">DJ35</f>
        <v>0</v>
      </c>
      <c r="DW35" s="1">
        <f t="shared" ref="DW35:DW66" si="23">CX35</f>
        <v>0</v>
      </c>
      <c r="DX35" s="1">
        <f t="shared" ref="DX35:DX66" si="24">DN35</f>
        <v>0</v>
      </c>
      <c r="DY35" s="1" t="str">
        <f t="array" ref="DY35">_xlfn.LET(
_xlpm.a,LOWER(TRIM(DQ35&amp;"")),
_xlpm.b,LOWER(TRIM(DR35&amp;"")),
_xlpm.x,_xlfn.IFS(_xlpm.a="0",0,_xlpm.a="none",0,_xlpm.a="moderate",1,_xlpm.a="strong",2),
_xlpm.y,_xlfn.IFS(_xlpm.b="0",0,_xlpm.b="none",0,_xlpm.b="moderate",1,_xlpm.b="strong",2),
_xlpm.d,ABS(_xlpm.x-_xlpm.y),
IF(_xlpm.d=0,"green",IF(_xlpm.d=1,"orange",IF(_xlpm.d=2,"red","check")))
)</f>
        <v>green</v>
      </c>
      <c r="DZ35" s="1" t="str">
        <f t="array" ref="DZ35">_xlfn.LET(
_xlpm.a,LOWER(TRIM(DS35&amp;"")),
_xlpm.b,LOWER(TRIM(DT35&amp;"")),
_xlpm.x,_xlfn.IFS(_xlpm.a="0",0,_xlpm.a="none",0,_xlpm.a="moderate",1,_xlpm.a="strong",2),
_xlpm.y,_xlfn.IFS(_xlpm.b="0",0,_xlpm.b="none",0,_xlpm.b="moderate",1,_xlpm.b="strong",2),
_xlpm.d,ABS(_xlpm.x-_xlpm.y),
IF(_xlpm.d=0,"green",IF(_xlpm.d=1,"orange",IF(_xlpm.d=2,"red","check")))
)</f>
        <v>green</v>
      </c>
      <c r="EA35" s="1" t="str">
        <f t="array" ref="EA35">_xlfn.LET(
_xlpm.a,LOWER(TRIM(DU35&amp;"")),
_xlpm.b,LOWER(TRIM(DV35&amp;"")),
_xlpm.x,_xlfn.IFS(_xlpm.a="0",0,_xlpm.a="none",0,_xlpm.a="moderate",1,_xlpm.a="strong",2),
_xlpm.y,_xlfn.IFS(_xlpm.b="0",0,_xlpm.b="none",0,_xlpm.b="moderate",1,_xlpm.b="strong",2),
_xlpm.d,ABS(_xlpm.x-_xlpm.y),
IF(_xlpm.d=0,"green",IF(_xlpm.d=1,"orange",IF(_xlpm.d=2,"red","check")))
)</f>
        <v>green</v>
      </c>
      <c r="EB35" s="1" t="str">
        <f t="array" ref="EB35">_xlfn.LET(
_xlpm.a,LOWER(TRIM(DW35&amp;"")),
_xlpm.b,LOWER(TRIM(DX35&amp;"")),
_xlpm.x,_xlfn.IFS(_xlpm.a="0",0,_xlpm.a="none",0,_xlpm.a="moderate",1,_xlpm.a="strong",2),
_xlpm.y,_xlfn.IFS(_xlpm.b="0",0,_xlpm.b="none",0,_xlpm.b="moderate",1,_xlpm.b="strong",2),
_xlpm.d,ABS(_xlpm.x-_xlpm.y),
IF(_xlpm.d=0,"green",IF(_xlpm.d=1,"orange",IF(_xlpm.d=2,"red","check")))
)</f>
        <v>green</v>
      </c>
      <c r="EC35"/>
      <c r="ED35"/>
      <c r="EE35"/>
      <c r="EF35"/>
      <c r="EG35"/>
      <c r="EH35"/>
      <c r="EI35"/>
      <c r="EJ35"/>
      <c r="EK35"/>
      <c r="EL35"/>
      <c r="EM35"/>
      <c r="EN35"/>
      <c r="EO35"/>
      <c r="EP35"/>
      <c r="EQ35"/>
      <c r="ER35"/>
      <c r="ES35" s="58" t="str">
        <f t="shared" si="8"/>
        <v/>
      </c>
      <c r="ET35" s="58" t="str">
        <f t="shared" si="9"/>
        <v>No</v>
      </c>
      <c r="EU35" s="59" t="str">
        <f t="shared" si="15"/>
        <v>Uninformative</v>
      </c>
      <c r="EV35" s="59" t="str">
        <f t="shared" si="16"/>
        <v>Uninformative</v>
      </c>
      <c r="EW35" s="59" t="str">
        <f t="shared" si="10"/>
        <v>Uninformative</v>
      </c>
      <c r="EX35" s="58" t="str">
        <f t="shared" si="11"/>
        <v>Uninformative</v>
      </c>
      <c r="EY35" s="58" t="str">
        <f t="shared" si="12"/>
        <v>Uninformative</v>
      </c>
      <c r="EZ35" s="58" t="str">
        <f t="shared" si="13"/>
        <v>Uninformative</v>
      </c>
      <c r="FA35" s="58" t="str">
        <f t="shared" si="14"/>
        <v>No</v>
      </c>
    </row>
    <row r="36" spans="1:157" ht="20" customHeight="1">
      <c r="A36" s="32"/>
      <c r="B36" s="32"/>
      <c r="C36" s="32"/>
      <c r="D36" s="32"/>
      <c r="E36" s="32"/>
      <c r="F36" s="32"/>
      <c r="G36" s="32"/>
      <c r="H36" s="32"/>
      <c r="I36" s="32"/>
      <c r="J36" s="32"/>
      <c r="K36" s="32"/>
      <c r="L36" s="32"/>
      <c r="M36" s="32"/>
      <c r="N36" s="32"/>
      <c r="O36" s="32"/>
      <c r="P36" s="32"/>
      <c r="Q36" s="32"/>
      <c r="R36" s="32"/>
      <c r="S36" s="32"/>
      <c r="T36" s="32"/>
      <c r="U36" s="32"/>
      <c r="V36" s="32"/>
      <c r="W36" s="32"/>
      <c r="X36"/>
      <c r="Y36"/>
      <c r="Z36"/>
      <c r="AA36"/>
      <c r="AB36"/>
      <c r="AC36"/>
      <c r="AD36"/>
      <c r="AE36"/>
      <c r="AG36"/>
      <c r="AH36"/>
      <c r="AI36"/>
      <c r="AJ36"/>
      <c r="AK36"/>
      <c r="AL36"/>
      <c r="CZ36"/>
      <c r="DA36"/>
      <c r="DB36"/>
      <c r="DC36"/>
      <c r="DD36"/>
      <c r="DE36"/>
      <c r="DF36"/>
      <c r="DG36"/>
      <c r="DH36"/>
      <c r="DI36"/>
      <c r="DJ36"/>
      <c r="DK36"/>
      <c r="DL36"/>
      <c r="DM36"/>
      <c r="DN36"/>
      <c r="DO36"/>
      <c r="DP36"/>
      <c r="DQ36" s="1">
        <f t="shared" si="17"/>
        <v>0</v>
      </c>
      <c r="DR36" s="1">
        <f t="shared" si="18"/>
        <v>0</v>
      </c>
      <c r="DS36" s="1">
        <f t="shared" si="19"/>
        <v>0</v>
      </c>
      <c r="DT36" s="1">
        <f t="shared" si="20"/>
        <v>0</v>
      </c>
      <c r="DU36" s="1">
        <f t="shared" si="21"/>
        <v>0</v>
      </c>
      <c r="DV36" s="1">
        <f t="shared" si="22"/>
        <v>0</v>
      </c>
      <c r="DW36" s="1">
        <f t="shared" si="23"/>
        <v>0</v>
      </c>
      <c r="DX36" s="1">
        <f t="shared" si="24"/>
        <v>0</v>
      </c>
      <c r="DY36" s="1" t="str">
        <f t="array" ref="DY36">_xlfn.LET(
_xlpm.a,LOWER(TRIM(DQ36&amp;"")),
_xlpm.b,LOWER(TRIM(DR36&amp;"")),
_xlpm.x,_xlfn.IFS(_xlpm.a="0",0,_xlpm.a="none",0,_xlpm.a="moderate",1,_xlpm.a="strong",2),
_xlpm.y,_xlfn.IFS(_xlpm.b="0",0,_xlpm.b="none",0,_xlpm.b="moderate",1,_xlpm.b="strong",2),
_xlpm.d,ABS(_xlpm.x-_xlpm.y),
IF(_xlpm.d=0,"green",IF(_xlpm.d=1,"orange",IF(_xlpm.d=2,"red","check")))
)</f>
        <v>green</v>
      </c>
      <c r="DZ36" s="1" t="str">
        <f t="array" ref="DZ36">_xlfn.LET(
_xlpm.a,LOWER(TRIM(DS36&amp;"")),
_xlpm.b,LOWER(TRIM(DT36&amp;"")),
_xlpm.x,_xlfn.IFS(_xlpm.a="0",0,_xlpm.a="none",0,_xlpm.a="moderate",1,_xlpm.a="strong",2),
_xlpm.y,_xlfn.IFS(_xlpm.b="0",0,_xlpm.b="none",0,_xlpm.b="moderate",1,_xlpm.b="strong",2),
_xlpm.d,ABS(_xlpm.x-_xlpm.y),
IF(_xlpm.d=0,"green",IF(_xlpm.d=1,"orange",IF(_xlpm.d=2,"red","check")))
)</f>
        <v>green</v>
      </c>
      <c r="EA36" s="1" t="str">
        <f t="array" ref="EA36">_xlfn.LET(
_xlpm.a,LOWER(TRIM(DU36&amp;"")),
_xlpm.b,LOWER(TRIM(DV36&amp;"")),
_xlpm.x,_xlfn.IFS(_xlpm.a="0",0,_xlpm.a="none",0,_xlpm.a="moderate",1,_xlpm.a="strong",2),
_xlpm.y,_xlfn.IFS(_xlpm.b="0",0,_xlpm.b="none",0,_xlpm.b="moderate",1,_xlpm.b="strong",2),
_xlpm.d,ABS(_xlpm.x-_xlpm.y),
IF(_xlpm.d=0,"green",IF(_xlpm.d=1,"orange",IF(_xlpm.d=2,"red","check")))
)</f>
        <v>green</v>
      </c>
      <c r="EB36" s="1" t="str">
        <f t="array" ref="EB36">_xlfn.LET(
_xlpm.a,LOWER(TRIM(DW36&amp;"")),
_xlpm.b,LOWER(TRIM(DX36&amp;"")),
_xlpm.x,_xlfn.IFS(_xlpm.a="0",0,_xlpm.a="none",0,_xlpm.a="moderate",1,_xlpm.a="strong",2),
_xlpm.y,_xlfn.IFS(_xlpm.b="0",0,_xlpm.b="none",0,_xlpm.b="moderate",1,_xlpm.b="strong",2),
_xlpm.d,ABS(_xlpm.x-_xlpm.y),
IF(_xlpm.d=0,"green",IF(_xlpm.d=1,"orange",IF(_xlpm.d=2,"red","check")))
)</f>
        <v>green</v>
      </c>
      <c r="EC36"/>
      <c r="ED36"/>
      <c r="EE36"/>
      <c r="EF36"/>
      <c r="EG36"/>
      <c r="EH36"/>
      <c r="EI36"/>
      <c r="EJ36"/>
      <c r="EK36"/>
      <c r="EL36"/>
      <c r="EM36"/>
      <c r="EN36"/>
      <c r="EO36"/>
      <c r="EP36"/>
      <c r="EQ36"/>
      <c r="ER36"/>
      <c r="ES36" s="58" t="str">
        <f t="shared" si="8"/>
        <v/>
      </c>
      <c r="ET36" s="58" t="str">
        <f t="shared" si="9"/>
        <v>No</v>
      </c>
      <c r="EU36" s="59" t="str">
        <f t="shared" si="15"/>
        <v>Uninformative</v>
      </c>
      <c r="EV36" s="59" t="str">
        <f t="shared" si="16"/>
        <v>Uninformative</v>
      </c>
      <c r="EW36" s="59" t="str">
        <f t="shared" si="10"/>
        <v>Uninformative</v>
      </c>
      <c r="EX36" s="58" t="str">
        <f t="shared" si="11"/>
        <v>Uninformative</v>
      </c>
      <c r="EY36" s="58" t="str">
        <f t="shared" si="12"/>
        <v>Uninformative</v>
      </c>
      <c r="EZ36" s="58" t="str">
        <f t="shared" si="13"/>
        <v>Uninformative</v>
      </c>
      <c r="FA36" s="58" t="str">
        <f t="shared" si="14"/>
        <v>No</v>
      </c>
    </row>
    <row r="37" spans="1:157" ht="20" customHeight="1">
      <c r="A37" s="32"/>
      <c r="B37" s="32"/>
      <c r="C37" s="32"/>
      <c r="D37" s="32"/>
      <c r="E37" s="32"/>
      <c r="F37" s="32"/>
      <c r="G37" s="32"/>
      <c r="H37" s="32"/>
      <c r="I37" s="32"/>
      <c r="J37" s="32"/>
      <c r="K37" s="32"/>
      <c r="L37" s="32"/>
      <c r="M37" s="32"/>
      <c r="N37" s="32"/>
      <c r="O37" s="32"/>
      <c r="P37" s="32"/>
      <c r="Q37" s="32"/>
      <c r="R37" s="32"/>
      <c r="S37" s="32"/>
      <c r="T37" s="32"/>
      <c r="U37" s="32"/>
      <c r="V37" s="32"/>
      <c r="W37" s="32"/>
      <c r="X37"/>
      <c r="Y37"/>
      <c r="Z37"/>
      <c r="AA37"/>
      <c r="AB37"/>
      <c r="AC37"/>
      <c r="AD37"/>
      <c r="AE37"/>
      <c r="AG37"/>
      <c r="AH37"/>
      <c r="AI37"/>
      <c r="AJ37"/>
      <c r="AK37"/>
      <c r="AL37"/>
      <c r="AM37"/>
      <c r="AN37"/>
      <c r="AO37"/>
      <c r="AP37"/>
      <c r="AQ37"/>
      <c r="AR37"/>
      <c r="AS37"/>
      <c r="AT37"/>
      <c r="AU37"/>
      <c r="AV37"/>
      <c r="AW37"/>
      <c r="AX37"/>
      <c r="AY37"/>
      <c r="AZ37"/>
      <c r="BA37"/>
      <c r="BB37"/>
      <c r="BC37"/>
      <c r="BD37"/>
      <c r="BE37"/>
      <c r="BF37"/>
      <c r="BG37"/>
      <c r="BH37"/>
      <c r="BI37"/>
      <c r="BJ37"/>
      <c r="BK37"/>
      <c r="BL37"/>
      <c r="BQ37"/>
      <c r="BR37"/>
      <c r="BS37"/>
      <c r="BT37"/>
      <c r="BU37"/>
      <c r="BV37"/>
      <c r="BW37"/>
      <c r="BX37"/>
      <c r="BY37"/>
      <c r="BZ37"/>
      <c r="CB37"/>
      <c r="CC37"/>
      <c r="CD37"/>
      <c r="CF37"/>
      <c r="CG37"/>
      <c r="CH37"/>
      <c r="CJ37"/>
      <c r="CK37"/>
      <c r="CL37"/>
      <c r="CM37"/>
      <c r="CN37"/>
      <c r="CP37"/>
      <c r="CQ37"/>
      <c r="CR37"/>
      <c r="CS37"/>
      <c r="CT37"/>
      <c r="CU37"/>
      <c r="CV37"/>
      <c r="CW37"/>
      <c r="CX37"/>
      <c r="CY37"/>
      <c r="CZ37"/>
      <c r="DA37"/>
      <c r="DB37"/>
      <c r="DC37"/>
      <c r="DD37"/>
      <c r="DE37"/>
      <c r="DF37"/>
      <c r="DG37"/>
      <c r="DH37"/>
      <c r="DI37"/>
      <c r="DJ37"/>
      <c r="DK37"/>
      <c r="DL37"/>
      <c r="DM37"/>
      <c r="DN37"/>
      <c r="DO37"/>
      <c r="DP37"/>
      <c r="DQ37" s="1">
        <f t="shared" si="17"/>
        <v>0</v>
      </c>
      <c r="DR37" s="1">
        <f t="shared" si="18"/>
        <v>0</v>
      </c>
      <c r="DS37" s="1">
        <f t="shared" si="19"/>
        <v>0</v>
      </c>
      <c r="DT37" s="1">
        <f t="shared" si="20"/>
        <v>0</v>
      </c>
      <c r="DU37" s="1">
        <f t="shared" si="21"/>
        <v>0</v>
      </c>
      <c r="DV37" s="1">
        <f t="shared" si="22"/>
        <v>0</v>
      </c>
      <c r="DW37" s="1">
        <f t="shared" si="23"/>
        <v>0</v>
      </c>
      <c r="DX37" s="1">
        <f t="shared" si="24"/>
        <v>0</v>
      </c>
      <c r="DY37" s="1" t="str">
        <f t="array" ref="DY37">_xlfn.LET(
_xlpm.a,LOWER(TRIM(DQ37&amp;"")),
_xlpm.b,LOWER(TRIM(DR37&amp;"")),
_xlpm.x,_xlfn.IFS(_xlpm.a="0",0,_xlpm.a="none",0,_xlpm.a="moderate",1,_xlpm.a="strong",2),
_xlpm.y,_xlfn.IFS(_xlpm.b="0",0,_xlpm.b="none",0,_xlpm.b="moderate",1,_xlpm.b="strong",2),
_xlpm.d,ABS(_xlpm.x-_xlpm.y),
IF(_xlpm.d=0,"green",IF(_xlpm.d=1,"orange",IF(_xlpm.d=2,"red","check")))
)</f>
        <v>green</v>
      </c>
      <c r="DZ37" s="1" t="str">
        <f t="array" ref="DZ37">_xlfn.LET(
_xlpm.a,LOWER(TRIM(DS37&amp;"")),
_xlpm.b,LOWER(TRIM(DT37&amp;"")),
_xlpm.x,_xlfn.IFS(_xlpm.a="0",0,_xlpm.a="none",0,_xlpm.a="moderate",1,_xlpm.a="strong",2),
_xlpm.y,_xlfn.IFS(_xlpm.b="0",0,_xlpm.b="none",0,_xlpm.b="moderate",1,_xlpm.b="strong",2),
_xlpm.d,ABS(_xlpm.x-_xlpm.y),
IF(_xlpm.d=0,"green",IF(_xlpm.d=1,"orange",IF(_xlpm.d=2,"red","check")))
)</f>
        <v>green</v>
      </c>
      <c r="EA37" s="1" t="str">
        <f t="array" ref="EA37">_xlfn.LET(
_xlpm.a,LOWER(TRIM(DU37&amp;"")),
_xlpm.b,LOWER(TRIM(DV37&amp;"")),
_xlpm.x,_xlfn.IFS(_xlpm.a="0",0,_xlpm.a="none",0,_xlpm.a="moderate",1,_xlpm.a="strong",2),
_xlpm.y,_xlfn.IFS(_xlpm.b="0",0,_xlpm.b="none",0,_xlpm.b="moderate",1,_xlpm.b="strong",2),
_xlpm.d,ABS(_xlpm.x-_xlpm.y),
IF(_xlpm.d=0,"green",IF(_xlpm.d=1,"orange",IF(_xlpm.d=2,"red","check")))
)</f>
        <v>green</v>
      </c>
      <c r="EB37" s="1" t="str">
        <f t="array" ref="EB37">_xlfn.LET(
_xlpm.a,LOWER(TRIM(DW37&amp;"")),
_xlpm.b,LOWER(TRIM(DX37&amp;"")),
_xlpm.x,_xlfn.IFS(_xlpm.a="0",0,_xlpm.a="none",0,_xlpm.a="moderate",1,_xlpm.a="strong",2),
_xlpm.y,_xlfn.IFS(_xlpm.b="0",0,_xlpm.b="none",0,_xlpm.b="moderate",1,_xlpm.b="strong",2),
_xlpm.d,ABS(_xlpm.x-_xlpm.y),
IF(_xlpm.d=0,"green",IF(_xlpm.d=1,"orange",IF(_xlpm.d=2,"red","check")))
)</f>
        <v>green</v>
      </c>
      <c r="EC37"/>
      <c r="ED37"/>
      <c r="EE37"/>
      <c r="EF37"/>
      <c r="EG37"/>
      <c r="EH37"/>
      <c r="EI37"/>
      <c r="EJ37"/>
      <c r="EK37"/>
      <c r="EL37"/>
      <c r="EM37"/>
      <c r="EN37"/>
      <c r="EO37"/>
      <c r="EP37"/>
      <c r="EQ37"/>
      <c r="ER37"/>
      <c r="ES37" s="58" t="str">
        <f t="shared" si="8"/>
        <v/>
      </c>
      <c r="ET37" s="58" t="str">
        <f t="shared" si="9"/>
        <v>No</v>
      </c>
      <c r="EU37" s="59" t="str">
        <f t="shared" si="15"/>
        <v>Uninformative</v>
      </c>
      <c r="EV37" s="59" t="str">
        <f t="shared" si="16"/>
        <v>Uninformative</v>
      </c>
      <c r="EW37" s="59" t="str">
        <f t="shared" si="10"/>
        <v>Uninformative</v>
      </c>
      <c r="EX37" s="58" t="str">
        <f t="shared" si="11"/>
        <v>Uninformative</v>
      </c>
      <c r="EY37" s="58" t="str">
        <f t="shared" si="12"/>
        <v>Uninformative</v>
      </c>
      <c r="EZ37" s="58" t="str">
        <f t="shared" si="13"/>
        <v>Uninformative</v>
      </c>
      <c r="FA37" s="58" t="str">
        <f t="shared" si="14"/>
        <v>No</v>
      </c>
    </row>
    <row r="38" spans="1:157" ht="20" customHeight="1">
      <c r="A38" s="32"/>
      <c r="B38" s="32"/>
      <c r="C38" s="32"/>
      <c r="D38" s="32"/>
      <c r="E38" s="32"/>
      <c r="F38" s="32"/>
      <c r="G38" s="32"/>
      <c r="H38" s="32"/>
      <c r="I38" s="32"/>
      <c r="J38" s="32"/>
      <c r="K38" s="32"/>
      <c r="L38" s="32"/>
      <c r="M38" s="32"/>
      <c r="N38" s="32"/>
      <c r="O38" s="32"/>
      <c r="P38" s="32"/>
      <c r="Q38" s="32"/>
      <c r="R38" s="32"/>
      <c r="S38" s="32"/>
      <c r="T38" s="32"/>
      <c r="U38" s="32"/>
      <c r="V38" s="32"/>
      <c r="W38" s="32"/>
      <c r="X38"/>
      <c r="Y38"/>
      <c r="Z38"/>
      <c r="AA38"/>
      <c r="AB38"/>
      <c r="AG38"/>
      <c r="AH38"/>
      <c r="AI38"/>
      <c r="AJ38"/>
      <c r="AK38"/>
      <c r="AL38"/>
      <c r="AM38"/>
      <c r="AN38"/>
      <c r="AO38"/>
      <c r="AP38"/>
      <c r="AQ38"/>
      <c r="AR38"/>
      <c r="AS38"/>
      <c r="AT38"/>
      <c r="AU38"/>
      <c r="AV38"/>
      <c r="AW38"/>
      <c r="AX38"/>
      <c r="AY38"/>
      <c r="AZ38"/>
      <c r="BA38"/>
      <c r="BB38"/>
      <c r="BC38"/>
      <c r="BD38"/>
      <c r="BE38"/>
      <c r="BF38"/>
      <c r="BG38"/>
      <c r="BH38"/>
      <c r="BI38"/>
      <c r="BJ38"/>
      <c r="BK38"/>
      <c r="BL38"/>
      <c r="BQ38"/>
      <c r="BR38"/>
      <c r="BS38"/>
      <c r="BT38"/>
      <c r="BU38"/>
      <c r="BV38"/>
      <c r="BW38"/>
      <c r="BX38"/>
      <c r="BY38"/>
      <c r="BZ38"/>
      <c r="CB38"/>
      <c r="CC38"/>
      <c r="CD38"/>
      <c r="CF38"/>
      <c r="CG38"/>
      <c r="CH38"/>
      <c r="CJ38"/>
      <c r="CK38"/>
      <c r="CL38"/>
      <c r="CM38"/>
      <c r="CN38"/>
      <c r="CP38"/>
      <c r="CQ38"/>
      <c r="CR38"/>
      <c r="CS38"/>
      <c r="CT38"/>
      <c r="CU38"/>
      <c r="CV38"/>
      <c r="CW38"/>
      <c r="CX38"/>
      <c r="CY38"/>
      <c r="CZ38"/>
      <c r="DA38"/>
      <c r="DB38"/>
      <c r="DC38"/>
      <c r="DD38"/>
      <c r="DE38"/>
      <c r="DF38"/>
      <c r="DG38"/>
      <c r="DH38"/>
      <c r="DI38"/>
      <c r="DJ38"/>
      <c r="DK38"/>
      <c r="DL38"/>
      <c r="DM38"/>
      <c r="DN38"/>
      <c r="DO38"/>
      <c r="DP38"/>
      <c r="DQ38" s="1">
        <f t="shared" si="17"/>
        <v>0</v>
      </c>
      <c r="DR38" s="1">
        <f t="shared" si="18"/>
        <v>0</v>
      </c>
      <c r="DS38" s="1">
        <f t="shared" si="19"/>
        <v>0</v>
      </c>
      <c r="DT38" s="1">
        <f t="shared" si="20"/>
        <v>0</v>
      </c>
      <c r="DU38" s="1">
        <f t="shared" si="21"/>
        <v>0</v>
      </c>
      <c r="DV38" s="1">
        <f t="shared" si="22"/>
        <v>0</v>
      </c>
      <c r="DW38" s="1">
        <f t="shared" si="23"/>
        <v>0</v>
      </c>
      <c r="DX38" s="1">
        <f t="shared" si="24"/>
        <v>0</v>
      </c>
      <c r="DY38" s="1" t="str">
        <f t="array" ref="DY38">_xlfn.LET(
_xlpm.a,LOWER(TRIM(DQ38&amp;"")),
_xlpm.b,LOWER(TRIM(DR38&amp;"")),
_xlpm.x,_xlfn.IFS(_xlpm.a="0",0,_xlpm.a="none",0,_xlpm.a="moderate",1,_xlpm.a="strong",2),
_xlpm.y,_xlfn.IFS(_xlpm.b="0",0,_xlpm.b="none",0,_xlpm.b="moderate",1,_xlpm.b="strong",2),
_xlpm.d,ABS(_xlpm.x-_xlpm.y),
IF(_xlpm.d=0,"green",IF(_xlpm.d=1,"orange",IF(_xlpm.d=2,"red","check")))
)</f>
        <v>green</v>
      </c>
      <c r="DZ38" s="1" t="str">
        <f t="array" ref="DZ38">_xlfn.LET(
_xlpm.a,LOWER(TRIM(DS38&amp;"")),
_xlpm.b,LOWER(TRIM(DT38&amp;"")),
_xlpm.x,_xlfn.IFS(_xlpm.a="0",0,_xlpm.a="none",0,_xlpm.a="moderate",1,_xlpm.a="strong",2),
_xlpm.y,_xlfn.IFS(_xlpm.b="0",0,_xlpm.b="none",0,_xlpm.b="moderate",1,_xlpm.b="strong",2),
_xlpm.d,ABS(_xlpm.x-_xlpm.y),
IF(_xlpm.d=0,"green",IF(_xlpm.d=1,"orange",IF(_xlpm.d=2,"red","check")))
)</f>
        <v>green</v>
      </c>
      <c r="EA38" s="1" t="str">
        <f t="array" ref="EA38">_xlfn.LET(
_xlpm.a,LOWER(TRIM(DU38&amp;"")),
_xlpm.b,LOWER(TRIM(DV38&amp;"")),
_xlpm.x,_xlfn.IFS(_xlpm.a="0",0,_xlpm.a="none",0,_xlpm.a="moderate",1,_xlpm.a="strong",2),
_xlpm.y,_xlfn.IFS(_xlpm.b="0",0,_xlpm.b="none",0,_xlpm.b="moderate",1,_xlpm.b="strong",2),
_xlpm.d,ABS(_xlpm.x-_xlpm.y),
IF(_xlpm.d=0,"green",IF(_xlpm.d=1,"orange",IF(_xlpm.d=2,"red","check")))
)</f>
        <v>green</v>
      </c>
      <c r="EB38" s="1" t="str">
        <f t="array" ref="EB38">_xlfn.LET(
_xlpm.a,LOWER(TRIM(DW38&amp;"")),
_xlpm.b,LOWER(TRIM(DX38&amp;"")),
_xlpm.x,_xlfn.IFS(_xlpm.a="0",0,_xlpm.a="none",0,_xlpm.a="moderate",1,_xlpm.a="strong",2),
_xlpm.y,_xlfn.IFS(_xlpm.b="0",0,_xlpm.b="none",0,_xlpm.b="moderate",1,_xlpm.b="strong",2),
_xlpm.d,ABS(_xlpm.x-_xlpm.y),
IF(_xlpm.d=0,"green",IF(_xlpm.d=1,"orange",IF(_xlpm.d=2,"red","check")))
)</f>
        <v>green</v>
      </c>
      <c r="EC38"/>
      <c r="ED38"/>
      <c r="EE38"/>
      <c r="EF38"/>
      <c r="EG38"/>
      <c r="EH38"/>
      <c r="EI38"/>
      <c r="EJ38"/>
      <c r="EK38"/>
      <c r="EL38"/>
      <c r="EM38"/>
      <c r="EN38"/>
      <c r="EO38"/>
      <c r="EP38"/>
      <c r="EQ38"/>
      <c r="ER38"/>
      <c r="ES38" s="58" t="str">
        <f t="shared" si="8"/>
        <v/>
      </c>
      <c r="ET38" s="58" t="str">
        <f t="shared" si="9"/>
        <v>No</v>
      </c>
      <c r="EU38" s="59" t="str">
        <f t="shared" si="15"/>
        <v>Uninformative</v>
      </c>
      <c r="EV38" s="59" t="str">
        <f t="shared" si="16"/>
        <v>Uninformative</v>
      </c>
      <c r="EW38" s="59" t="str">
        <f t="shared" si="10"/>
        <v>Uninformative</v>
      </c>
      <c r="EX38" s="58" t="str">
        <f t="shared" si="11"/>
        <v>Uninformative</v>
      </c>
      <c r="EY38" s="58" t="str">
        <f t="shared" si="12"/>
        <v>Uninformative</v>
      </c>
      <c r="EZ38" s="58" t="str">
        <f t="shared" si="13"/>
        <v>Uninformative</v>
      </c>
      <c r="FA38" s="58" t="str">
        <f t="shared" si="14"/>
        <v>No</v>
      </c>
    </row>
    <row r="39" spans="1:157" ht="20" customHeight="1">
      <c r="A39" s="32"/>
      <c r="B39" s="32"/>
      <c r="C39" s="32"/>
      <c r="D39" s="32"/>
      <c r="E39" s="32"/>
      <c r="F39" s="32"/>
      <c r="G39" s="32"/>
      <c r="H39" s="32"/>
      <c r="I39" s="32"/>
      <c r="J39" s="32"/>
      <c r="K39" s="32"/>
      <c r="L39" s="32"/>
      <c r="M39" s="32"/>
      <c r="N39" s="32"/>
      <c r="O39" s="32"/>
      <c r="P39" s="32"/>
      <c r="Q39" s="32"/>
      <c r="R39" s="32"/>
      <c r="S39" s="32"/>
      <c r="T39" s="32"/>
      <c r="U39" s="32"/>
      <c r="V39" s="32"/>
      <c r="W39" s="32"/>
      <c r="X39"/>
      <c r="Y39"/>
      <c r="Z39"/>
      <c r="AA39"/>
      <c r="AB39"/>
      <c r="AC39"/>
      <c r="AD39"/>
      <c r="AE39"/>
      <c r="AG39"/>
      <c r="AH39"/>
      <c r="AI39"/>
      <c r="AJ39"/>
      <c r="AK39"/>
      <c r="AL39"/>
      <c r="AM39"/>
      <c r="AN39"/>
      <c r="AO39"/>
      <c r="AP39"/>
      <c r="AQ39"/>
      <c r="AR39"/>
      <c r="AS39"/>
      <c r="AT39"/>
      <c r="AU39"/>
      <c r="AV39"/>
      <c r="AW39"/>
      <c r="AX39"/>
      <c r="AY39"/>
      <c r="AZ39"/>
      <c r="BU39"/>
      <c r="BV39"/>
      <c r="BW39"/>
      <c r="BX39"/>
      <c r="BY39"/>
      <c r="BZ39"/>
      <c r="CB39"/>
      <c r="CC39"/>
      <c r="CD39"/>
      <c r="CF39"/>
      <c r="CG39"/>
      <c r="CH39"/>
      <c r="CJ39"/>
      <c r="CK39"/>
      <c r="CQ39"/>
      <c r="CR39"/>
      <c r="CS39"/>
      <c r="CT39"/>
      <c r="CU39"/>
      <c r="CV39"/>
      <c r="CW39"/>
      <c r="CX39"/>
      <c r="CY39"/>
      <c r="CZ39"/>
      <c r="DA39"/>
      <c r="DB39"/>
      <c r="DC39"/>
      <c r="DD39"/>
      <c r="DE39"/>
      <c r="DF39"/>
      <c r="DG39"/>
      <c r="DH39"/>
      <c r="DI39"/>
      <c r="DJ39"/>
      <c r="DK39"/>
      <c r="DL39"/>
      <c r="DM39"/>
      <c r="DN39"/>
      <c r="DO39"/>
      <c r="DP39"/>
      <c r="DQ39" s="1">
        <f t="shared" si="17"/>
        <v>0</v>
      </c>
      <c r="DR39" s="1">
        <f t="shared" si="18"/>
        <v>0</v>
      </c>
      <c r="DS39" s="1">
        <f t="shared" si="19"/>
        <v>0</v>
      </c>
      <c r="DT39" s="1">
        <f t="shared" si="20"/>
        <v>0</v>
      </c>
      <c r="DU39" s="1">
        <f t="shared" si="21"/>
        <v>0</v>
      </c>
      <c r="DV39" s="1">
        <f t="shared" si="22"/>
        <v>0</v>
      </c>
      <c r="DW39" s="1">
        <f t="shared" si="23"/>
        <v>0</v>
      </c>
      <c r="DX39" s="1">
        <f t="shared" si="24"/>
        <v>0</v>
      </c>
      <c r="DY39" s="1" t="str">
        <f t="array" ref="DY39">_xlfn.LET(
_xlpm.a,LOWER(TRIM(DQ39&amp;"")),
_xlpm.b,LOWER(TRIM(DR39&amp;"")),
_xlpm.x,_xlfn.IFS(_xlpm.a="0",0,_xlpm.a="none",0,_xlpm.a="moderate",1,_xlpm.a="strong",2),
_xlpm.y,_xlfn.IFS(_xlpm.b="0",0,_xlpm.b="none",0,_xlpm.b="moderate",1,_xlpm.b="strong",2),
_xlpm.d,ABS(_xlpm.x-_xlpm.y),
IF(_xlpm.d=0,"green",IF(_xlpm.d=1,"orange",IF(_xlpm.d=2,"red","check")))
)</f>
        <v>green</v>
      </c>
      <c r="DZ39" s="1" t="str">
        <f t="array" ref="DZ39">_xlfn.LET(
_xlpm.a,LOWER(TRIM(DS39&amp;"")),
_xlpm.b,LOWER(TRIM(DT39&amp;"")),
_xlpm.x,_xlfn.IFS(_xlpm.a="0",0,_xlpm.a="none",0,_xlpm.a="moderate",1,_xlpm.a="strong",2),
_xlpm.y,_xlfn.IFS(_xlpm.b="0",0,_xlpm.b="none",0,_xlpm.b="moderate",1,_xlpm.b="strong",2),
_xlpm.d,ABS(_xlpm.x-_xlpm.y),
IF(_xlpm.d=0,"green",IF(_xlpm.d=1,"orange",IF(_xlpm.d=2,"red","check")))
)</f>
        <v>green</v>
      </c>
      <c r="EA39" s="1" t="str">
        <f t="array" ref="EA39">_xlfn.LET(
_xlpm.a,LOWER(TRIM(DU39&amp;"")),
_xlpm.b,LOWER(TRIM(DV39&amp;"")),
_xlpm.x,_xlfn.IFS(_xlpm.a="0",0,_xlpm.a="none",0,_xlpm.a="moderate",1,_xlpm.a="strong",2),
_xlpm.y,_xlfn.IFS(_xlpm.b="0",0,_xlpm.b="none",0,_xlpm.b="moderate",1,_xlpm.b="strong",2),
_xlpm.d,ABS(_xlpm.x-_xlpm.y),
IF(_xlpm.d=0,"green",IF(_xlpm.d=1,"orange",IF(_xlpm.d=2,"red","check")))
)</f>
        <v>green</v>
      </c>
      <c r="EB39" s="1" t="str">
        <f t="array" ref="EB39">_xlfn.LET(
_xlpm.a,LOWER(TRIM(DW39&amp;"")),
_xlpm.b,LOWER(TRIM(DX39&amp;"")),
_xlpm.x,_xlfn.IFS(_xlpm.a="0",0,_xlpm.a="none",0,_xlpm.a="moderate",1,_xlpm.a="strong",2),
_xlpm.y,_xlfn.IFS(_xlpm.b="0",0,_xlpm.b="none",0,_xlpm.b="moderate",1,_xlpm.b="strong",2),
_xlpm.d,ABS(_xlpm.x-_xlpm.y),
IF(_xlpm.d=0,"green",IF(_xlpm.d=1,"orange",IF(_xlpm.d=2,"red","check")))
)</f>
        <v>green</v>
      </c>
      <c r="EC39"/>
      <c r="ED39"/>
      <c r="EE39"/>
      <c r="EF39"/>
      <c r="EG39"/>
      <c r="EH39"/>
      <c r="EI39"/>
      <c r="EJ39"/>
      <c r="EK39"/>
      <c r="EL39"/>
      <c r="EM39"/>
      <c r="EN39"/>
      <c r="EO39"/>
      <c r="EP39"/>
      <c r="EQ39"/>
      <c r="ER39"/>
      <c r="ES39" s="58" t="str">
        <f t="shared" si="8"/>
        <v/>
      </c>
      <c r="ET39" s="58" t="str">
        <f t="shared" si="9"/>
        <v>No</v>
      </c>
      <c r="EU39" s="59" t="str">
        <f t="shared" si="15"/>
        <v>Uninformative</v>
      </c>
      <c r="EV39" s="59" t="str">
        <f t="shared" si="16"/>
        <v>Uninformative</v>
      </c>
      <c r="EW39" s="59" t="str">
        <f t="shared" si="10"/>
        <v>Uninformative</v>
      </c>
      <c r="EX39" s="58" t="str">
        <f t="shared" si="11"/>
        <v>Uninformative</v>
      </c>
      <c r="EY39" s="58" t="str">
        <f t="shared" si="12"/>
        <v>Uninformative</v>
      </c>
      <c r="EZ39" s="58" t="str">
        <f t="shared" si="13"/>
        <v>Uninformative</v>
      </c>
      <c r="FA39" s="58" t="str">
        <f t="shared" si="14"/>
        <v>No</v>
      </c>
    </row>
    <row r="40" spans="1:157" ht="20" customHeight="1">
      <c r="A40" s="32"/>
      <c r="B40" s="32"/>
      <c r="C40" s="32"/>
      <c r="D40" s="32"/>
      <c r="E40" s="32"/>
      <c r="F40" s="32"/>
      <c r="G40" s="32"/>
      <c r="H40" s="32"/>
      <c r="I40" s="32"/>
      <c r="J40" s="32"/>
      <c r="K40" s="32"/>
      <c r="L40" s="32"/>
      <c r="M40" s="32"/>
      <c r="N40" s="32"/>
      <c r="O40" s="32"/>
      <c r="P40" s="32"/>
      <c r="Q40" s="32"/>
      <c r="R40" s="32"/>
      <c r="S40" s="32"/>
      <c r="T40" s="32"/>
      <c r="U40" s="32"/>
      <c r="V40" s="32"/>
      <c r="W40" s="32"/>
      <c r="X40"/>
      <c r="Y40"/>
      <c r="Z40"/>
      <c r="AA40"/>
      <c r="AB40"/>
      <c r="AC40"/>
      <c r="AD40"/>
      <c r="AE40"/>
      <c r="AG40"/>
      <c r="AH40"/>
      <c r="AI40"/>
      <c r="AJ40"/>
      <c r="AK40"/>
      <c r="AL40"/>
      <c r="AM40"/>
      <c r="AN40"/>
      <c r="AO40"/>
      <c r="AP40"/>
      <c r="AQ40"/>
      <c r="AR40"/>
      <c r="AS40"/>
      <c r="AT40"/>
      <c r="AU40"/>
      <c r="AV40"/>
      <c r="AW40"/>
      <c r="AX40"/>
      <c r="AY40"/>
      <c r="AZ40"/>
      <c r="BA40"/>
      <c r="BB40"/>
      <c r="BC40"/>
      <c r="BD40"/>
      <c r="BE40"/>
      <c r="BF40"/>
      <c r="BG40"/>
      <c r="BH40"/>
      <c r="BI40"/>
      <c r="BJ40"/>
      <c r="BK40"/>
      <c r="BL40"/>
      <c r="BQ40"/>
      <c r="BR40"/>
      <c r="BS40"/>
      <c r="BT40"/>
      <c r="BU40"/>
      <c r="BV40"/>
      <c r="BW40"/>
      <c r="BX40"/>
      <c r="BY40"/>
      <c r="BZ40"/>
      <c r="CB40"/>
      <c r="CC40"/>
      <c r="CD40"/>
      <c r="CF40"/>
      <c r="CG40"/>
      <c r="CH40"/>
      <c r="CJ40"/>
      <c r="CK40"/>
      <c r="CL40"/>
      <c r="CM40"/>
      <c r="CN40"/>
      <c r="CP40"/>
      <c r="CQ40"/>
      <c r="CR40"/>
      <c r="CS40"/>
      <c r="CT40"/>
      <c r="CU40"/>
      <c r="CV40"/>
      <c r="CW40"/>
      <c r="CX40"/>
      <c r="CY40"/>
      <c r="CZ40"/>
      <c r="DA40"/>
      <c r="DB40"/>
      <c r="DC40"/>
      <c r="DD40"/>
      <c r="DE40"/>
      <c r="DF40"/>
      <c r="DG40"/>
      <c r="DH40"/>
      <c r="DI40"/>
      <c r="DJ40"/>
      <c r="DK40"/>
      <c r="DL40"/>
      <c r="DM40"/>
      <c r="DN40"/>
      <c r="DO40"/>
      <c r="DP40"/>
      <c r="DQ40" s="1">
        <f t="shared" si="17"/>
        <v>0</v>
      </c>
      <c r="DR40" s="1">
        <f t="shared" si="18"/>
        <v>0</v>
      </c>
      <c r="DS40" s="1">
        <f t="shared" si="19"/>
        <v>0</v>
      </c>
      <c r="DT40" s="1">
        <f t="shared" si="20"/>
        <v>0</v>
      </c>
      <c r="DU40" s="1">
        <f t="shared" si="21"/>
        <v>0</v>
      </c>
      <c r="DV40" s="1">
        <f t="shared" si="22"/>
        <v>0</v>
      </c>
      <c r="DW40" s="1">
        <f t="shared" si="23"/>
        <v>0</v>
      </c>
      <c r="DX40" s="1">
        <f t="shared" si="24"/>
        <v>0</v>
      </c>
      <c r="DY40" s="1" t="str">
        <f t="array" ref="DY40">_xlfn.LET(
_xlpm.a,LOWER(TRIM(DQ40&amp;"")),
_xlpm.b,LOWER(TRIM(DR40&amp;"")),
_xlpm.x,_xlfn.IFS(_xlpm.a="0",0,_xlpm.a="none",0,_xlpm.a="moderate",1,_xlpm.a="strong",2),
_xlpm.y,_xlfn.IFS(_xlpm.b="0",0,_xlpm.b="none",0,_xlpm.b="moderate",1,_xlpm.b="strong",2),
_xlpm.d,ABS(_xlpm.x-_xlpm.y),
IF(_xlpm.d=0,"green",IF(_xlpm.d=1,"orange",IF(_xlpm.d=2,"red","check")))
)</f>
        <v>green</v>
      </c>
      <c r="DZ40" s="1" t="str">
        <f t="array" ref="DZ40">_xlfn.LET(
_xlpm.a,LOWER(TRIM(DS40&amp;"")),
_xlpm.b,LOWER(TRIM(DT40&amp;"")),
_xlpm.x,_xlfn.IFS(_xlpm.a="0",0,_xlpm.a="none",0,_xlpm.a="moderate",1,_xlpm.a="strong",2),
_xlpm.y,_xlfn.IFS(_xlpm.b="0",0,_xlpm.b="none",0,_xlpm.b="moderate",1,_xlpm.b="strong",2),
_xlpm.d,ABS(_xlpm.x-_xlpm.y),
IF(_xlpm.d=0,"green",IF(_xlpm.d=1,"orange",IF(_xlpm.d=2,"red","check")))
)</f>
        <v>green</v>
      </c>
      <c r="EA40" s="1" t="str">
        <f t="array" ref="EA40">_xlfn.LET(
_xlpm.a,LOWER(TRIM(DU40&amp;"")),
_xlpm.b,LOWER(TRIM(DV40&amp;"")),
_xlpm.x,_xlfn.IFS(_xlpm.a="0",0,_xlpm.a="none",0,_xlpm.a="moderate",1,_xlpm.a="strong",2),
_xlpm.y,_xlfn.IFS(_xlpm.b="0",0,_xlpm.b="none",0,_xlpm.b="moderate",1,_xlpm.b="strong",2),
_xlpm.d,ABS(_xlpm.x-_xlpm.y),
IF(_xlpm.d=0,"green",IF(_xlpm.d=1,"orange",IF(_xlpm.d=2,"red","check")))
)</f>
        <v>green</v>
      </c>
      <c r="EB40" s="1" t="str">
        <f t="array" ref="EB40">_xlfn.LET(
_xlpm.a,LOWER(TRIM(DW40&amp;"")),
_xlpm.b,LOWER(TRIM(DX40&amp;"")),
_xlpm.x,_xlfn.IFS(_xlpm.a="0",0,_xlpm.a="none",0,_xlpm.a="moderate",1,_xlpm.a="strong",2),
_xlpm.y,_xlfn.IFS(_xlpm.b="0",0,_xlpm.b="none",0,_xlpm.b="moderate",1,_xlpm.b="strong",2),
_xlpm.d,ABS(_xlpm.x-_xlpm.y),
IF(_xlpm.d=0,"green",IF(_xlpm.d=1,"orange",IF(_xlpm.d=2,"red","check")))
)</f>
        <v>green</v>
      </c>
      <c r="EC40"/>
      <c r="ED40"/>
      <c r="EE40"/>
      <c r="EF40"/>
      <c r="EG40"/>
      <c r="EH40"/>
      <c r="EI40"/>
      <c r="EJ40"/>
      <c r="EK40"/>
      <c r="EL40"/>
      <c r="EM40"/>
      <c r="EN40"/>
      <c r="EO40"/>
      <c r="EP40"/>
      <c r="EQ40"/>
      <c r="ER40"/>
      <c r="ES40" s="58" t="str">
        <f t="shared" si="8"/>
        <v/>
      </c>
      <c r="ET40" s="58" t="str">
        <f t="shared" si="9"/>
        <v>No</v>
      </c>
      <c r="EU40" s="59" t="str">
        <f t="shared" si="15"/>
        <v>Uninformative</v>
      </c>
      <c r="EV40" s="59" t="str">
        <f t="shared" si="16"/>
        <v>Uninformative</v>
      </c>
      <c r="EW40" s="59" t="str">
        <f t="shared" si="10"/>
        <v>Uninformative</v>
      </c>
      <c r="EX40" s="58" t="str">
        <f t="shared" si="11"/>
        <v>Uninformative</v>
      </c>
      <c r="EY40" s="58" t="str">
        <f t="shared" si="12"/>
        <v>Uninformative</v>
      </c>
      <c r="EZ40" s="58" t="str">
        <f t="shared" si="13"/>
        <v>Uninformative</v>
      </c>
      <c r="FA40" s="58" t="str">
        <f t="shared" si="14"/>
        <v>No</v>
      </c>
    </row>
    <row r="41" spans="1:157" ht="20" customHeight="1">
      <c r="A41" s="32"/>
      <c r="B41" s="32"/>
      <c r="C41" s="32"/>
      <c r="D41" s="32"/>
      <c r="E41" s="32"/>
      <c r="F41" s="32"/>
      <c r="G41" s="32"/>
      <c r="H41" s="32"/>
      <c r="I41" s="32"/>
      <c r="J41" s="32"/>
      <c r="K41" s="32"/>
      <c r="L41" s="32"/>
      <c r="M41" s="32"/>
      <c r="N41" s="32"/>
      <c r="O41" s="32"/>
      <c r="P41" s="32"/>
      <c r="Q41" s="32"/>
      <c r="R41" s="32"/>
      <c r="S41" s="32"/>
      <c r="T41" s="32"/>
      <c r="U41" s="32"/>
      <c r="V41" s="32"/>
      <c r="W41" s="32"/>
      <c r="X41"/>
      <c r="Y41"/>
      <c r="Z41"/>
      <c r="AA41"/>
      <c r="AB41"/>
      <c r="AC41"/>
      <c r="AD41"/>
      <c r="AE41"/>
      <c r="AG41"/>
      <c r="AH41"/>
      <c r="AI41"/>
      <c r="AJ41"/>
      <c r="AK41"/>
      <c r="AL41"/>
      <c r="CZ41"/>
      <c r="DA41"/>
      <c r="DB41" s="16"/>
      <c r="DC41"/>
      <c r="DD41"/>
      <c r="DE41"/>
      <c r="DF41"/>
      <c r="DG41"/>
      <c r="DH41"/>
      <c r="DI41"/>
      <c r="DJ41"/>
      <c r="DK41"/>
      <c r="DL41"/>
      <c r="DM41"/>
      <c r="DN41"/>
      <c r="DO41"/>
      <c r="DP41"/>
      <c r="DQ41" s="1">
        <f t="shared" si="17"/>
        <v>0</v>
      </c>
      <c r="DR41" s="1">
        <f t="shared" si="18"/>
        <v>0</v>
      </c>
      <c r="DS41" s="1">
        <f t="shared" si="19"/>
        <v>0</v>
      </c>
      <c r="DT41" s="1">
        <f t="shared" si="20"/>
        <v>0</v>
      </c>
      <c r="DU41" s="1">
        <f t="shared" si="21"/>
        <v>0</v>
      </c>
      <c r="DV41" s="1">
        <f t="shared" si="22"/>
        <v>0</v>
      </c>
      <c r="DW41" s="1">
        <f t="shared" si="23"/>
        <v>0</v>
      </c>
      <c r="DX41" s="1">
        <f t="shared" si="24"/>
        <v>0</v>
      </c>
      <c r="DY41" s="1" t="str">
        <f t="array" ref="DY41">_xlfn.LET(
_xlpm.a,LOWER(TRIM(DQ41&amp;"")),
_xlpm.b,LOWER(TRIM(DR41&amp;"")),
_xlpm.x,_xlfn.IFS(_xlpm.a="0",0,_xlpm.a="none",0,_xlpm.a="moderate",1,_xlpm.a="strong",2),
_xlpm.y,_xlfn.IFS(_xlpm.b="0",0,_xlpm.b="none",0,_xlpm.b="moderate",1,_xlpm.b="strong",2),
_xlpm.d,ABS(_xlpm.x-_xlpm.y),
IF(_xlpm.d=0,"green",IF(_xlpm.d=1,"orange",IF(_xlpm.d=2,"red","check")))
)</f>
        <v>green</v>
      </c>
      <c r="DZ41" s="1" t="str">
        <f t="array" ref="DZ41">_xlfn.LET(
_xlpm.a,LOWER(TRIM(DS41&amp;"")),
_xlpm.b,LOWER(TRIM(DT41&amp;"")),
_xlpm.x,_xlfn.IFS(_xlpm.a="0",0,_xlpm.a="none",0,_xlpm.a="moderate",1,_xlpm.a="strong",2),
_xlpm.y,_xlfn.IFS(_xlpm.b="0",0,_xlpm.b="none",0,_xlpm.b="moderate",1,_xlpm.b="strong",2),
_xlpm.d,ABS(_xlpm.x-_xlpm.y),
IF(_xlpm.d=0,"green",IF(_xlpm.d=1,"orange",IF(_xlpm.d=2,"red","check")))
)</f>
        <v>green</v>
      </c>
      <c r="EA41" s="1" t="str">
        <f t="array" ref="EA41">_xlfn.LET(
_xlpm.a,LOWER(TRIM(DU41&amp;"")),
_xlpm.b,LOWER(TRIM(DV41&amp;"")),
_xlpm.x,_xlfn.IFS(_xlpm.a="0",0,_xlpm.a="none",0,_xlpm.a="moderate",1,_xlpm.a="strong",2),
_xlpm.y,_xlfn.IFS(_xlpm.b="0",0,_xlpm.b="none",0,_xlpm.b="moderate",1,_xlpm.b="strong",2),
_xlpm.d,ABS(_xlpm.x-_xlpm.y),
IF(_xlpm.d=0,"green",IF(_xlpm.d=1,"orange",IF(_xlpm.d=2,"red","check")))
)</f>
        <v>green</v>
      </c>
      <c r="EB41" s="1" t="str">
        <f t="array" ref="EB41">_xlfn.LET(
_xlpm.a,LOWER(TRIM(DW41&amp;"")),
_xlpm.b,LOWER(TRIM(DX41&amp;"")),
_xlpm.x,_xlfn.IFS(_xlpm.a="0",0,_xlpm.a="none",0,_xlpm.a="moderate",1,_xlpm.a="strong",2),
_xlpm.y,_xlfn.IFS(_xlpm.b="0",0,_xlpm.b="none",0,_xlpm.b="moderate",1,_xlpm.b="strong",2),
_xlpm.d,ABS(_xlpm.x-_xlpm.y),
IF(_xlpm.d=0,"green",IF(_xlpm.d=1,"orange",IF(_xlpm.d=2,"red","check")))
)</f>
        <v>green</v>
      </c>
      <c r="EC41"/>
      <c r="ED41"/>
      <c r="EE41"/>
      <c r="EF41"/>
      <c r="EG41"/>
      <c r="EH41"/>
      <c r="EI41"/>
      <c r="EJ41"/>
      <c r="EK41"/>
      <c r="EL41"/>
      <c r="EM41"/>
      <c r="EN41"/>
      <c r="EO41"/>
      <c r="EP41"/>
      <c r="EQ41"/>
      <c r="ER41"/>
      <c r="ES41" s="58" t="str">
        <f t="shared" si="8"/>
        <v/>
      </c>
      <c r="ET41" s="58" t="str">
        <f t="shared" si="9"/>
        <v>No</v>
      </c>
      <c r="EU41" s="59" t="str">
        <f t="shared" si="15"/>
        <v>Uninformative</v>
      </c>
      <c r="EV41" s="59" t="str">
        <f t="shared" si="16"/>
        <v>Uninformative</v>
      </c>
      <c r="EW41" s="59" t="str">
        <f t="shared" si="10"/>
        <v>Uninformative</v>
      </c>
      <c r="EX41" s="58" t="str">
        <f t="shared" si="11"/>
        <v>Uninformative</v>
      </c>
      <c r="EY41" s="58" t="str">
        <f t="shared" si="12"/>
        <v>Uninformative</v>
      </c>
      <c r="EZ41" s="58" t="str">
        <f t="shared" si="13"/>
        <v>Uninformative</v>
      </c>
      <c r="FA41" s="58" t="str">
        <f t="shared" si="14"/>
        <v>No</v>
      </c>
    </row>
    <row r="42" spans="1:157" ht="20" customHeight="1">
      <c r="A42" s="32"/>
      <c r="B42" s="32"/>
      <c r="C42" s="32"/>
      <c r="D42" s="32"/>
      <c r="E42" s="32"/>
      <c r="F42" s="32"/>
      <c r="G42" s="32"/>
      <c r="H42" s="32"/>
      <c r="I42" s="32"/>
      <c r="J42" s="32"/>
      <c r="K42" s="32"/>
      <c r="L42" s="32"/>
      <c r="M42" s="32"/>
      <c r="N42" s="32"/>
      <c r="O42" s="32"/>
      <c r="P42" s="32"/>
      <c r="Q42" s="32"/>
      <c r="R42" s="32"/>
      <c r="S42" s="32"/>
      <c r="T42" s="32"/>
      <c r="U42" s="32"/>
      <c r="V42" s="32"/>
      <c r="W42" s="32"/>
      <c r="X42"/>
      <c r="Y42"/>
      <c r="Z42"/>
      <c r="AA42"/>
      <c r="AB42"/>
      <c r="AC42"/>
      <c r="AD42"/>
      <c r="AE42"/>
      <c r="AG42"/>
      <c r="AH42"/>
      <c r="AI42"/>
      <c r="AJ42"/>
      <c r="AK42"/>
      <c r="AL42"/>
      <c r="AM42"/>
      <c r="AN42"/>
      <c r="AO42"/>
      <c r="AP42"/>
      <c r="AQ42"/>
      <c r="AR42"/>
      <c r="AS42"/>
      <c r="AT42"/>
      <c r="AU42"/>
      <c r="AV42"/>
      <c r="AW42"/>
      <c r="AX42"/>
      <c r="AY42"/>
      <c r="AZ42"/>
      <c r="BA42"/>
      <c r="BB42"/>
      <c r="BC42"/>
      <c r="BD42"/>
      <c r="BE42"/>
      <c r="BF42"/>
      <c r="BG42"/>
      <c r="BH42"/>
      <c r="BI42"/>
      <c r="BJ42"/>
      <c r="BK42"/>
      <c r="BL42"/>
      <c r="BQ42"/>
      <c r="BR42"/>
      <c r="BS42"/>
      <c r="BT42"/>
      <c r="BU42"/>
      <c r="BV42"/>
      <c r="BW42"/>
      <c r="BX42"/>
      <c r="BY42"/>
      <c r="BZ42"/>
      <c r="CB42"/>
      <c r="CC42"/>
      <c r="CD42"/>
      <c r="CF42"/>
      <c r="CG42"/>
      <c r="CH42"/>
      <c r="CJ42"/>
      <c r="CK42"/>
      <c r="CL42"/>
      <c r="CM42"/>
      <c r="CN42"/>
      <c r="CP42"/>
      <c r="CQ42"/>
      <c r="CR42"/>
      <c r="CS42" s="16"/>
      <c r="CT42"/>
      <c r="CU42"/>
      <c r="CV42"/>
      <c r="CW42"/>
      <c r="CX42"/>
      <c r="CY42"/>
      <c r="CZ42"/>
      <c r="DA42"/>
      <c r="DB42"/>
      <c r="DC42"/>
      <c r="DD42"/>
      <c r="DE42"/>
      <c r="DF42"/>
      <c r="DG42"/>
      <c r="DH42"/>
      <c r="DI42"/>
      <c r="DJ42"/>
      <c r="DK42"/>
      <c r="DL42"/>
      <c r="DM42"/>
      <c r="DN42"/>
      <c r="DO42"/>
      <c r="DP42"/>
      <c r="DQ42" s="1">
        <f t="shared" si="17"/>
        <v>0</v>
      </c>
      <c r="DR42" s="1">
        <f t="shared" si="18"/>
        <v>0</v>
      </c>
      <c r="DS42" s="1">
        <f t="shared" si="19"/>
        <v>0</v>
      </c>
      <c r="DT42" s="1">
        <f t="shared" si="20"/>
        <v>0</v>
      </c>
      <c r="DU42" s="1">
        <f t="shared" si="21"/>
        <v>0</v>
      </c>
      <c r="DV42" s="1">
        <f t="shared" si="22"/>
        <v>0</v>
      </c>
      <c r="DW42" s="1">
        <f t="shared" si="23"/>
        <v>0</v>
      </c>
      <c r="DX42" s="1">
        <f t="shared" si="24"/>
        <v>0</v>
      </c>
      <c r="DY42" s="1" t="str">
        <f t="array" ref="DY42">_xlfn.LET(
_xlpm.a,LOWER(TRIM(DQ42&amp;"")),
_xlpm.b,LOWER(TRIM(DR42&amp;"")),
_xlpm.x,_xlfn.IFS(_xlpm.a="0",0,_xlpm.a="none",0,_xlpm.a="moderate",1,_xlpm.a="strong",2),
_xlpm.y,_xlfn.IFS(_xlpm.b="0",0,_xlpm.b="none",0,_xlpm.b="moderate",1,_xlpm.b="strong",2),
_xlpm.d,ABS(_xlpm.x-_xlpm.y),
IF(_xlpm.d=0,"green",IF(_xlpm.d=1,"orange",IF(_xlpm.d=2,"red","check")))
)</f>
        <v>green</v>
      </c>
      <c r="DZ42" s="1" t="str">
        <f t="array" ref="DZ42">_xlfn.LET(
_xlpm.a,LOWER(TRIM(DS42&amp;"")),
_xlpm.b,LOWER(TRIM(DT42&amp;"")),
_xlpm.x,_xlfn.IFS(_xlpm.a="0",0,_xlpm.a="none",0,_xlpm.a="moderate",1,_xlpm.a="strong",2),
_xlpm.y,_xlfn.IFS(_xlpm.b="0",0,_xlpm.b="none",0,_xlpm.b="moderate",1,_xlpm.b="strong",2),
_xlpm.d,ABS(_xlpm.x-_xlpm.y),
IF(_xlpm.d=0,"green",IF(_xlpm.d=1,"orange",IF(_xlpm.d=2,"red","check")))
)</f>
        <v>green</v>
      </c>
      <c r="EA42" s="1" t="str">
        <f t="array" ref="EA42">_xlfn.LET(
_xlpm.a,LOWER(TRIM(DU42&amp;"")),
_xlpm.b,LOWER(TRIM(DV42&amp;"")),
_xlpm.x,_xlfn.IFS(_xlpm.a="0",0,_xlpm.a="none",0,_xlpm.a="moderate",1,_xlpm.a="strong",2),
_xlpm.y,_xlfn.IFS(_xlpm.b="0",0,_xlpm.b="none",0,_xlpm.b="moderate",1,_xlpm.b="strong",2),
_xlpm.d,ABS(_xlpm.x-_xlpm.y),
IF(_xlpm.d=0,"green",IF(_xlpm.d=1,"orange",IF(_xlpm.d=2,"red","check")))
)</f>
        <v>green</v>
      </c>
      <c r="EB42" s="1" t="str">
        <f t="array" ref="EB42">_xlfn.LET(
_xlpm.a,LOWER(TRIM(DW42&amp;"")),
_xlpm.b,LOWER(TRIM(DX42&amp;"")),
_xlpm.x,_xlfn.IFS(_xlpm.a="0",0,_xlpm.a="none",0,_xlpm.a="moderate",1,_xlpm.a="strong",2),
_xlpm.y,_xlfn.IFS(_xlpm.b="0",0,_xlpm.b="none",0,_xlpm.b="moderate",1,_xlpm.b="strong",2),
_xlpm.d,ABS(_xlpm.x-_xlpm.y),
IF(_xlpm.d=0,"green",IF(_xlpm.d=1,"orange",IF(_xlpm.d=2,"red","check")))
)</f>
        <v>green</v>
      </c>
      <c r="EC42"/>
      <c r="ED42"/>
      <c r="EE42"/>
      <c r="EF42"/>
      <c r="EG42"/>
      <c r="EH42"/>
      <c r="EI42"/>
      <c r="EJ42"/>
      <c r="EK42"/>
      <c r="EL42"/>
      <c r="EM42"/>
      <c r="EN42"/>
      <c r="EO42"/>
      <c r="EP42"/>
      <c r="EQ42"/>
      <c r="ER42"/>
      <c r="ES42" s="58" t="str">
        <f t="shared" si="8"/>
        <v/>
      </c>
      <c r="ET42" s="58" t="str">
        <f t="shared" si="9"/>
        <v>No</v>
      </c>
      <c r="EU42" s="59" t="str">
        <f t="shared" si="15"/>
        <v>Uninformative</v>
      </c>
      <c r="EV42" s="59" t="str">
        <f t="shared" si="16"/>
        <v>Uninformative</v>
      </c>
      <c r="EW42" s="59" t="str">
        <f t="shared" si="10"/>
        <v>Uninformative</v>
      </c>
      <c r="EX42" s="58" t="str">
        <f t="shared" si="11"/>
        <v>Uninformative</v>
      </c>
      <c r="EY42" s="58" t="str">
        <f t="shared" si="12"/>
        <v>Uninformative</v>
      </c>
      <c r="EZ42" s="58" t="str">
        <f t="shared" si="13"/>
        <v>Uninformative</v>
      </c>
      <c r="FA42" s="58" t="str">
        <f t="shared" si="14"/>
        <v>No</v>
      </c>
    </row>
    <row r="43" spans="1:157" ht="20" customHeight="1">
      <c r="A43" s="32"/>
      <c r="B43" s="32"/>
      <c r="C43" s="32"/>
      <c r="D43" s="32"/>
      <c r="E43" s="32"/>
      <c r="F43" s="32"/>
      <c r="G43" s="32"/>
      <c r="H43" s="32"/>
      <c r="I43" s="32"/>
      <c r="J43" s="32"/>
      <c r="K43" s="32"/>
      <c r="L43" s="32"/>
      <c r="M43" s="32"/>
      <c r="N43" s="32"/>
      <c r="O43" s="32"/>
      <c r="P43" s="32"/>
      <c r="Q43" s="32"/>
      <c r="R43" s="32"/>
      <c r="S43" s="32"/>
      <c r="T43" s="32"/>
      <c r="U43" s="32"/>
      <c r="V43" s="32"/>
      <c r="W43" s="32"/>
      <c r="X43"/>
      <c r="Y43"/>
      <c r="Z43"/>
      <c r="AA43"/>
      <c r="AB43"/>
      <c r="AC43"/>
      <c r="AD43"/>
      <c r="AE43"/>
      <c r="AG43"/>
      <c r="AH43"/>
      <c r="AI43"/>
      <c r="AJ43"/>
      <c r="AK43"/>
      <c r="AL43"/>
      <c r="AM43"/>
      <c r="AN43"/>
      <c r="AO43"/>
      <c r="AP43"/>
      <c r="AQ43"/>
      <c r="AR43"/>
      <c r="AS43"/>
      <c r="AT43"/>
      <c r="AU43"/>
      <c r="AV43"/>
      <c r="AW43"/>
      <c r="AX43"/>
      <c r="AY43"/>
      <c r="AZ43"/>
      <c r="BA43"/>
      <c r="BB43"/>
      <c r="BC43"/>
      <c r="BD43"/>
      <c r="BE43"/>
      <c r="BF43"/>
      <c r="BG43"/>
      <c r="BH43"/>
      <c r="BI43"/>
      <c r="BJ43"/>
      <c r="BK43"/>
      <c r="BL43"/>
      <c r="BQ43"/>
      <c r="BR43"/>
      <c r="BS43"/>
      <c r="BT43"/>
      <c r="BU43"/>
      <c r="BV43"/>
      <c r="BW43"/>
      <c r="BX43"/>
      <c r="BY43"/>
      <c r="BZ43"/>
      <c r="CB43"/>
      <c r="CC43"/>
      <c r="CD43"/>
      <c r="CF43"/>
      <c r="CG43"/>
      <c r="CH43"/>
      <c r="CJ43"/>
      <c r="CK43"/>
      <c r="CL43"/>
      <c r="CM43"/>
      <c r="CN43"/>
      <c r="CP43"/>
      <c r="CQ43"/>
      <c r="CR43"/>
      <c r="CS43"/>
      <c r="CT43"/>
      <c r="CU43"/>
      <c r="CV43"/>
      <c r="CW43"/>
      <c r="CX43"/>
      <c r="CY43"/>
      <c r="CZ43"/>
      <c r="DA43"/>
      <c r="DB43"/>
      <c r="DC43"/>
      <c r="DD43"/>
      <c r="DE43"/>
      <c r="DF43"/>
      <c r="DG43"/>
      <c r="DH43"/>
      <c r="DI43"/>
      <c r="DJ43"/>
      <c r="DK43"/>
      <c r="DL43"/>
      <c r="DM43"/>
      <c r="DN43"/>
      <c r="DO43"/>
      <c r="DP43"/>
      <c r="DQ43" s="1">
        <f t="shared" si="17"/>
        <v>0</v>
      </c>
      <c r="DR43" s="1">
        <f t="shared" si="18"/>
        <v>0</v>
      </c>
      <c r="DS43" s="1">
        <f t="shared" si="19"/>
        <v>0</v>
      </c>
      <c r="DT43" s="1">
        <f t="shared" si="20"/>
        <v>0</v>
      </c>
      <c r="DU43" s="1">
        <f t="shared" si="21"/>
        <v>0</v>
      </c>
      <c r="DV43" s="1">
        <f t="shared" si="22"/>
        <v>0</v>
      </c>
      <c r="DW43" s="1">
        <f t="shared" si="23"/>
        <v>0</v>
      </c>
      <c r="DX43" s="1">
        <f t="shared" si="24"/>
        <v>0</v>
      </c>
      <c r="DY43" s="1" t="str">
        <f t="array" ref="DY43">_xlfn.LET(
_xlpm.a,LOWER(TRIM(DQ43&amp;"")),
_xlpm.b,LOWER(TRIM(DR43&amp;"")),
_xlpm.x,_xlfn.IFS(_xlpm.a="0",0,_xlpm.a="none",0,_xlpm.a="moderate",1,_xlpm.a="strong",2),
_xlpm.y,_xlfn.IFS(_xlpm.b="0",0,_xlpm.b="none",0,_xlpm.b="moderate",1,_xlpm.b="strong",2),
_xlpm.d,ABS(_xlpm.x-_xlpm.y),
IF(_xlpm.d=0,"green",IF(_xlpm.d=1,"orange",IF(_xlpm.d=2,"red","check")))
)</f>
        <v>green</v>
      </c>
      <c r="DZ43" s="1" t="str">
        <f t="array" ref="DZ43">_xlfn.LET(
_xlpm.a,LOWER(TRIM(DS43&amp;"")),
_xlpm.b,LOWER(TRIM(DT43&amp;"")),
_xlpm.x,_xlfn.IFS(_xlpm.a="0",0,_xlpm.a="none",0,_xlpm.a="moderate",1,_xlpm.a="strong",2),
_xlpm.y,_xlfn.IFS(_xlpm.b="0",0,_xlpm.b="none",0,_xlpm.b="moderate",1,_xlpm.b="strong",2),
_xlpm.d,ABS(_xlpm.x-_xlpm.y),
IF(_xlpm.d=0,"green",IF(_xlpm.d=1,"orange",IF(_xlpm.d=2,"red","check")))
)</f>
        <v>green</v>
      </c>
      <c r="EA43" s="1" t="str">
        <f t="array" ref="EA43">_xlfn.LET(
_xlpm.a,LOWER(TRIM(DU43&amp;"")),
_xlpm.b,LOWER(TRIM(DV43&amp;"")),
_xlpm.x,_xlfn.IFS(_xlpm.a="0",0,_xlpm.a="none",0,_xlpm.a="moderate",1,_xlpm.a="strong",2),
_xlpm.y,_xlfn.IFS(_xlpm.b="0",0,_xlpm.b="none",0,_xlpm.b="moderate",1,_xlpm.b="strong",2),
_xlpm.d,ABS(_xlpm.x-_xlpm.y),
IF(_xlpm.d=0,"green",IF(_xlpm.d=1,"orange",IF(_xlpm.d=2,"red","check")))
)</f>
        <v>green</v>
      </c>
      <c r="EB43" s="1" t="str">
        <f t="array" ref="EB43">_xlfn.LET(
_xlpm.a,LOWER(TRIM(DW43&amp;"")),
_xlpm.b,LOWER(TRIM(DX43&amp;"")),
_xlpm.x,_xlfn.IFS(_xlpm.a="0",0,_xlpm.a="none",0,_xlpm.a="moderate",1,_xlpm.a="strong",2),
_xlpm.y,_xlfn.IFS(_xlpm.b="0",0,_xlpm.b="none",0,_xlpm.b="moderate",1,_xlpm.b="strong",2),
_xlpm.d,ABS(_xlpm.x-_xlpm.y),
IF(_xlpm.d=0,"green",IF(_xlpm.d=1,"orange",IF(_xlpm.d=2,"red","check")))
)</f>
        <v>green</v>
      </c>
      <c r="EC43"/>
      <c r="ED43"/>
      <c r="EE43"/>
      <c r="EF43"/>
      <c r="EG43"/>
      <c r="EH43"/>
      <c r="EI43"/>
      <c r="EJ43"/>
      <c r="EK43"/>
      <c r="EL43"/>
      <c r="EM43"/>
      <c r="EN43"/>
      <c r="EO43"/>
      <c r="EP43"/>
      <c r="EQ43"/>
      <c r="ER43"/>
      <c r="ES43" s="58" t="str">
        <f t="shared" si="8"/>
        <v/>
      </c>
      <c r="ET43" s="58" t="str">
        <f t="shared" si="9"/>
        <v>No</v>
      </c>
      <c r="EU43" s="59" t="str">
        <f t="shared" si="15"/>
        <v>Uninformative</v>
      </c>
      <c r="EV43" s="59" t="str">
        <f t="shared" si="16"/>
        <v>Uninformative</v>
      </c>
      <c r="EW43" s="59" t="str">
        <f t="shared" si="10"/>
        <v>Uninformative</v>
      </c>
      <c r="EX43" s="58" t="str">
        <f t="shared" si="11"/>
        <v>Uninformative</v>
      </c>
      <c r="EY43" s="58" t="str">
        <f t="shared" si="12"/>
        <v>Uninformative</v>
      </c>
      <c r="EZ43" s="58" t="str">
        <f t="shared" si="13"/>
        <v>Uninformative</v>
      </c>
      <c r="FA43" s="58" t="str">
        <f t="shared" si="14"/>
        <v>No</v>
      </c>
    </row>
    <row r="44" spans="1:157" ht="20" customHeight="1">
      <c r="A44" s="32"/>
      <c r="B44" s="32"/>
      <c r="C44" s="32"/>
      <c r="D44" s="32"/>
      <c r="E44" s="32"/>
      <c r="F44" s="32"/>
      <c r="G44" s="32"/>
      <c r="H44" s="32"/>
      <c r="I44" s="32"/>
      <c r="J44" s="32"/>
      <c r="K44" s="32"/>
      <c r="L44" s="32"/>
      <c r="M44" s="32"/>
      <c r="N44" s="32"/>
      <c r="O44" s="32"/>
      <c r="P44" s="32"/>
      <c r="Q44" s="32"/>
      <c r="R44" s="32"/>
      <c r="S44" s="32"/>
      <c r="T44" s="32"/>
      <c r="U44" s="32"/>
      <c r="V44" s="32"/>
      <c r="W44" s="32"/>
      <c r="X44"/>
      <c r="Y44"/>
      <c r="Z44"/>
      <c r="AA44"/>
      <c r="AB44"/>
      <c r="AC44"/>
      <c r="AD44"/>
      <c r="AE44"/>
      <c r="AG44"/>
      <c r="AH44"/>
      <c r="AI44"/>
      <c r="AJ44"/>
      <c r="AK44"/>
      <c r="AL44"/>
      <c r="CZ44"/>
      <c r="DA44"/>
      <c r="DB44"/>
      <c r="DC44"/>
      <c r="DD44"/>
      <c r="DE44"/>
      <c r="DF44"/>
      <c r="DG44"/>
      <c r="DH44"/>
      <c r="DI44"/>
      <c r="DJ44"/>
      <c r="DK44"/>
      <c r="DL44"/>
      <c r="DM44"/>
      <c r="DN44"/>
      <c r="DO44"/>
      <c r="DP44"/>
      <c r="DQ44" s="1">
        <f t="shared" si="17"/>
        <v>0</v>
      </c>
      <c r="DR44" s="1">
        <f t="shared" si="18"/>
        <v>0</v>
      </c>
      <c r="DS44" s="1">
        <f t="shared" si="19"/>
        <v>0</v>
      </c>
      <c r="DT44" s="1">
        <f t="shared" si="20"/>
        <v>0</v>
      </c>
      <c r="DU44" s="1">
        <f t="shared" si="21"/>
        <v>0</v>
      </c>
      <c r="DV44" s="1">
        <f t="shared" si="22"/>
        <v>0</v>
      </c>
      <c r="DW44" s="1">
        <f t="shared" si="23"/>
        <v>0</v>
      </c>
      <c r="DX44" s="1">
        <f t="shared" si="24"/>
        <v>0</v>
      </c>
      <c r="DY44" s="1" t="str">
        <f t="array" ref="DY44">_xlfn.LET(
_xlpm.a,LOWER(TRIM(DQ44&amp;"")),
_xlpm.b,LOWER(TRIM(DR44&amp;"")),
_xlpm.x,_xlfn.IFS(_xlpm.a="0",0,_xlpm.a="none",0,_xlpm.a="moderate",1,_xlpm.a="strong",2),
_xlpm.y,_xlfn.IFS(_xlpm.b="0",0,_xlpm.b="none",0,_xlpm.b="moderate",1,_xlpm.b="strong",2),
_xlpm.d,ABS(_xlpm.x-_xlpm.y),
IF(_xlpm.d=0,"green",IF(_xlpm.d=1,"orange",IF(_xlpm.d=2,"red","check")))
)</f>
        <v>green</v>
      </c>
      <c r="DZ44" s="1" t="str">
        <f t="array" ref="DZ44">_xlfn.LET(
_xlpm.a,LOWER(TRIM(DS44&amp;"")),
_xlpm.b,LOWER(TRIM(DT44&amp;"")),
_xlpm.x,_xlfn.IFS(_xlpm.a="0",0,_xlpm.a="none",0,_xlpm.a="moderate",1,_xlpm.a="strong",2),
_xlpm.y,_xlfn.IFS(_xlpm.b="0",0,_xlpm.b="none",0,_xlpm.b="moderate",1,_xlpm.b="strong",2),
_xlpm.d,ABS(_xlpm.x-_xlpm.y),
IF(_xlpm.d=0,"green",IF(_xlpm.d=1,"orange",IF(_xlpm.d=2,"red","check")))
)</f>
        <v>green</v>
      </c>
      <c r="EA44" s="1" t="str">
        <f t="array" ref="EA44">_xlfn.LET(
_xlpm.a,LOWER(TRIM(DU44&amp;"")),
_xlpm.b,LOWER(TRIM(DV44&amp;"")),
_xlpm.x,_xlfn.IFS(_xlpm.a="0",0,_xlpm.a="none",0,_xlpm.a="moderate",1,_xlpm.a="strong",2),
_xlpm.y,_xlfn.IFS(_xlpm.b="0",0,_xlpm.b="none",0,_xlpm.b="moderate",1,_xlpm.b="strong",2),
_xlpm.d,ABS(_xlpm.x-_xlpm.y),
IF(_xlpm.d=0,"green",IF(_xlpm.d=1,"orange",IF(_xlpm.d=2,"red","check")))
)</f>
        <v>green</v>
      </c>
      <c r="EB44" s="1" t="str">
        <f t="array" ref="EB44">_xlfn.LET(
_xlpm.a,LOWER(TRIM(DW44&amp;"")),
_xlpm.b,LOWER(TRIM(DX44&amp;"")),
_xlpm.x,_xlfn.IFS(_xlpm.a="0",0,_xlpm.a="none",0,_xlpm.a="moderate",1,_xlpm.a="strong",2),
_xlpm.y,_xlfn.IFS(_xlpm.b="0",0,_xlpm.b="none",0,_xlpm.b="moderate",1,_xlpm.b="strong",2),
_xlpm.d,ABS(_xlpm.x-_xlpm.y),
IF(_xlpm.d=0,"green",IF(_xlpm.d=1,"orange",IF(_xlpm.d=2,"red","check")))
)</f>
        <v>green</v>
      </c>
      <c r="EC44"/>
      <c r="ED44"/>
      <c r="EE44"/>
      <c r="EF44"/>
      <c r="EG44"/>
      <c r="EH44"/>
      <c r="EI44"/>
      <c r="EJ44"/>
      <c r="EK44"/>
      <c r="EL44"/>
      <c r="EM44"/>
      <c r="EN44"/>
      <c r="EO44"/>
      <c r="EP44"/>
      <c r="EQ44"/>
      <c r="ER44"/>
      <c r="ES44" s="58" t="str">
        <f t="shared" si="8"/>
        <v/>
      </c>
      <c r="ET44" s="58" t="str">
        <f t="shared" si="9"/>
        <v>No</v>
      </c>
      <c r="EU44" s="59" t="str">
        <f t="shared" si="15"/>
        <v>Uninformative</v>
      </c>
      <c r="EV44" s="59" t="str">
        <f t="shared" si="16"/>
        <v>Uninformative</v>
      </c>
      <c r="EW44" s="59" t="str">
        <f t="shared" si="10"/>
        <v>Uninformative</v>
      </c>
      <c r="EX44" s="58" t="str">
        <f t="shared" si="11"/>
        <v>Uninformative</v>
      </c>
      <c r="EY44" s="58" t="str">
        <f t="shared" si="12"/>
        <v>Uninformative</v>
      </c>
      <c r="EZ44" s="58" t="str">
        <f t="shared" si="13"/>
        <v>Uninformative</v>
      </c>
      <c r="FA44" s="58" t="str">
        <f t="shared" si="14"/>
        <v>No</v>
      </c>
    </row>
    <row r="45" spans="1:157" ht="20" customHeight="1">
      <c r="A45" s="32"/>
      <c r="B45" s="32"/>
      <c r="C45" s="32"/>
      <c r="D45" s="32"/>
      <c r="E45" s="32"/>
      <c r="F45" s="32"/>
      <c r="G45" s="32"/>
      <c r="H45" s="32"/>
      <c r="I45" s="32"/>
      <c r="J45" s="32"/>
      <c r="K45" s="32"/>
      <c r="L45" s="32"/>
      <c r="M45" s="32"/>
      <c r="N45" s="32"/>
      <c r="O45" s="32"/>
      <c r="P45" s="32"/>
      <c r="Q45" s="32"/>
      <c r="R45" s="32"/>
      <c r="S45" s="32"/>
      <c r="T45" s="32"/>
      <c r="U45" s="32"/>
      <c r="V45" s="32"/>
      <c r="W45" s="32"/>
      <c r="X45"/>
      <c r="Y45"/>
      <c r="Z45"/>
      <c r="AA45"/>
      <c r="AB45"/>
      <c r="AC45"/>
      <c r="AD45"/>
      <c r="AE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U45"/>
      <c r="BV45"/>
      <c r="BW45"/>
      <c r="BX45"/>
      <c r="BY45"/>
      <c r="BZ45"/>
      <c r="CB45"/>
      <c r="CC45"/>
      <c r="CD45"/>
      <c r="CF45"/>
      <c r="CG45"/>
      <c r="CH45"/>
      <c r="CJ45"/>
      <c r="CK45"/>
      <c r="CL45"/>
      <c r="CM45"/>
      <c r="CN45"/>
      <c r="CO45"/>
      <c r="CQ45"/>
      <c r="CR45"/>
      <c r="CS45"/>
      <c r="CT45"/>
      <c r="CU45"/>
      <c r="CV45"/>
      <c r="CW45"/>
      <c r="CX45"/>
      <c r="CY45"/>
      <c r="CZ45"/>
      <c r="DA45"/>
      <c r="DB45"/>
      <c r="DC45"/>
      <c r="DD45"/>
      <c r="DE45"/>
      <c r="DF45"/>
      <c r="DG45"/>
      <c r="DH45"/>
      <c r="DI45"/>
      <c r="DJ45"/>
      <c r="DK45"/>
      <c r="DL45"/>
      <c r="DM45"/>
      <c r="DN45"/>
      <c r="DO45"/>
      <c r="DP45"/>
      <c r="DQ45" s="1">
        <f t="shared" si="17"/>
        <v>0</v>
      </c>
      <c r="DR45" s="1">
        <f t="shared" si="18"/>
        <v>0</v>
      </c>
      <c r="DS45" s="1">
        <f t="shared" si="19"/>
        <v>0</v>
      </c>
      <c r="DT45" s="1">
        <f t="shared" si="20"/>
        <v>0</v>
      </c>
      <c r="DU45" s="1">
        <f t="shared" si="21"/>
        <v>0</v>
      </c>
      <c r="DV45" s="1">
        <f t="shared" si="22"/>
        <v>0</v>
      </c>
      <c r="DW45" s="1">
        <f t="shared" si="23"/>
        <v>0</v>
      </c>
      <c r="DX45" s="1">
        <f t="shared" si="24"/>
        <v>0</v>
      </c>
      <c r="DY45" s="1" t="str">
        <f t="array" ref="DY45">_xlfn.LET(
_xlpm.a,LOWER(TRIM(DQ45&amp;"")),
_xlpm.b,LOWER(TRIM(DR45&amp;"")),
_xlpm.x,_xlfn.IFS(_xlpm.a="0",0,_xlpm.a="none",0,_xlpm.a="moderate",1,_xlpm.a="strong",2),
_xlpm.y,_xlfn.IFS(_xlpm.b="0",0,_xlpm.b="none",0,_xlpm.b="moderate",1,_xlpm.b="strong",2),
_xlpm.d,ABS(_xlpm.x-_xlpm.y),
IF(_xlpm.d=0,"green",IF(_xlpm.d=1,"orange",IF(_xlpm.d=2,"red","check")))
)</f>
        <v>green</v>
      </c>
      <c r="DZ45" s="1" t="str">
        <f t="array" ref="DZ45">_xlfn.LET(
_xlpm.a,LOWER(TRIM(DS45&amp;"")),
_xlpm.b,LOWER(TRIM(DT45&amp;"")),
_xlpm.x,_xlfn.IFS(_xlpm.a="0",0,_xlpm.a="none",0,_xlpm.a="moderate",1,_xlpm.a="strong",2),
_xlpm.y,_xlfn.IFS(_xlpm.b="0",0,_xlpm.b="none",0,_xlpm.b="moderate",1,_xlpm.b="strong",2),
_xlpm.d,ABS(_xlpm.x-_xlpm.y),
IF(_xlpm.d=0,"green",IF(_xlpm.d=1,"orange",IF(_xlpm.d=2,"red","check")))
)</f>
        <v>green</v>
      </c>
      <c r="EA45" s="1" t="str">
        <f t="array" ref="EA45">_xlfn.LET(
_xlpm.a,LOWER(TRIM(DU45&amp;"")),
_xlpm.b,LOWER(TRIM(DV45&amp;"")),
_xlpm.x,_xlfn.IFS(_xlpm.a="0",0,_xlpm.a="none",0,_xlpm.a="moderate",1,_xlpm.a="strong",2),
_xlpm.y,_xlfn.IFS(_xlpm.b="0",0,_xlpm.b="none",0,_xlpm.b="moderate",1,_xlpm.b="strong",2),
_xlpm.d,ABS(_xlpm.x-_xlpm.y),
IF(_xlpm.d=0,"green",IF(_xlpm.d=1,"orange",IF(_xlpm.d=2,"red","check")))
)</f>
        <v>green</v>
      </c>
      <c r="EB45" s="1" t="str">
        <f t="array" ref="EB45">_xlfn.LET(
_xlpm.a,LOWER(TRIM(DW45&amp;"")),
_xlpm.b,LOWER(TRIM(DX45&amp;"")),
_xlpm.x,_xlfn.IFS(_xlpm.a="0",0,_xlpm.a="none",0,_xlpm.a="moderate",1,_xlpm.a="strong",2),
_xlpm.y,_xlfn.IFS(_xlpm.b="0",0,_xlpm.b="none",0,_xlpm.b="moderate",1,_xlpm.b="strong",2),
_xlpm.d,ABS(_xlpm.x-_xlpm.y),
IF(_xlpm.d=0,"green",IF(_xlpm.d=1,"orange",IF(_xlpm.d=2,"red","check")))
)</f>
        <v>green</v>
      </c>
      <c r="EC45"/>
      <c r="ED45"/>
      <c r="EE45"/>
      <c r="EF45"/>
      <c r="EG45"/>
      <c r="EH45"/>
      <c r="EI45"/>
      <c r="EJ45"/>
      <c r="EK45"/>
      <c r="EL45"/>
      <c r="EM45"/>
      <c r="EN45"/>
      <c r="EO45"/>
      <c r="EP45"/>
      <c r="EQ45"/>
      <c r="ER45"/>
      <c r="ES45" s="58" t="str">
        <f t="shared" si="8"/>
        <v/>
      </c>
      <c r="ET45" s="58" t="str">
        <f t="shared" si="9"/>
        <v>No</v>
      </c>
      <c r="EU45" s="59" t="str">
        <f t="shared" si="15"/>
        <v>Uninformative</v>
      </c>
      <c r="EV45" s="59" t="str">
        <f t="shared" si="16"/>
        <v>Uninformative</v>
      </c>
      <c r="EW45" s="59" t="str">
        <f t="shared" si="10"/>
        <v>Uninformative</v>
      </c>
      <c r="EX45" s="58" t="str">
        <f t="shared" si="11"/>
        <v>Uninformative</v>
      </c>
      <c r="EY45" s="58" t="str">
        <f t="shared" si="12"/>
        <v>Uninformative</v>
      </c>
      <c r="EZ45" s="58" t="str">
        <f t="shared" si="13"/>
        <v>Uninformative</v>
      </c>
      <c r="FA45" s="58" t="str">
        <f t="shared" si="14"/>
        <v>No</v>
      </c>
    </row>
    <row r="46" spans="1:157" ht="20" customHeight="1">
      <c r="A46" s="32"/>
      <c r="B46" s="32"/>
      <c r="C46" s="32"/>
      <c r="D46" s="32"/>
      <c r="E46" s="32"/>
      <c r="F46" s="32"/>
      <c r="G46" s="32"/>
      <c r="H46" s="32"/>
      <c r="I46" s="32"/>
      <c r="J46" s="32"/>
      <c r="K46" s="32"/>
      <c r="L46" s="32"/>
      <c r="M46" s="32"/>
      <c r="N46" s="32"/>
      <c r="O46" s="32"/>
      <c r="P46" s="32"/>
      <c r="Q46" s="32"/>
      <c r="R46" s="32"/>
      <c r="S46" s="32"/>
      <c r="T46" s="32"/>
      <c r="U46" s="32"/>
      <c r="V46" s="32"/>
      <c r="W46" s="32"/>
      <c r="X46"/>
      <c r="Y46"/>
      <c r="Z46"/>
      <c r="AA46"/>
      <c r="AB46"/>
      <c r="AC46"/>
      <c r="AD46"/>
      <c r="AE46"/>
      <c r="AG46"/>
      <c r="AH46"/>
      <c r="AI46"/>
      <c r="AJ46"/>
      <c r="AK46"/>
      <c r="AL46"/>
      <c r="AM46"/>
      <c r="AN46"/>
      <c r="AO46"/>
      <c r="AP46"/>
      <c r="AQ46"/>
      <c r="AR46"/>
      <c r="AS46"/>
      <c r="AT46"/>
      <c r="AU46"/>
      <c r="AV46"/>
      <c r="AW46"/>
      <c r="AX46"/>
      <c r="AY46"/>
      <c r="AZ46"/>
      <c r="BA46"/>
      <c r="BB46"/>
      <c r="BC46"/>
      <c r="BD46"/>
      <c r="BE46"/>
      <c r="BF46"/>
      <c r="BG46"/>
      <c r="BH46"/>
      <c r="BI46"/>
      <c r="BJ46"/>
      <c r="BK46"/>
      <c r="BL46"/>
      <c r="BQ46"/>
      <c r="BR46"/>
      <c r="BS46"/>
      <c r="BT46"/>
      <c r="BU46"/>
      <c r="BV46"/>
      <c r="BW46"/>
      <c r="BX46"/>
      <c r="BY46"/>
      <c r="BZ46"/>
      <c r="CB46"/>
      <c r="CC46"/>
      <c r="CD46"/>
      <c r="CF46"/>
      <c r="CG46"/>
      <c r="CH46"/>
      <c r="CJ46"/>
      <c r="CK46"/>
      <c r="CL46"/>
      <c r="CM46"/>
      <c r="CN46"/>
      <c r="CP46"/>
      <c r="CQ46"/>
      <c r="CR46"/>
      <c r="CS46"/>
      <c r="CT46"/>
      <c r="CU46"/>
      <c r="CV46"/>
      <c r="CW46"/>
      <c r="CX46"/>
      <c r="CY46"/>
      <c r="CZ46"/>
      <c r="DA46"/>
      <c r="DB46"/>
      <c r="DC46"/>
      <c r="DD46"/>
      <c r="DE46"/>
      <c r="DF46"/>
      <c r="DG46"/>
      <c r="DH46"/>
      <c r="DI46"/>
      <c r="DJ46"/>
      <c r="DK46"/>
      <c r="DL46"/>
      <c r="DM46"/>
      <c r="DN46"/>
      <c r="DO46"/>
      <c r="DP46"/>
      <c r="DQ46" s="1">
        <f t="shared" si="17"/>
        <v>0</v>
      </c>
      <c r="DR46" s="1">
        <f t="shared" si="18"/>
        <v>0</v>
      </c>
      <c r="DS46" s="1">
        <f t="shared" si="19"/>
        <v>0</v>
      </c>
      <c r="DT46" s="1">
        <f t="shared" si="20"/>
        <v>0</v>
      </c>
      <c r="DU46" s="1">
        <f t="shared" si="21"/>
        <v>0</v>
      </c>
      <c r="DV46" s="1">
        <f t="shared" si="22"/>
        <v>0</v>
      </c>
      <c r="DW46" s="1">
        <f t="shared" si="23"/>
        <v>0</v>
      </c>
      <c r="DX46" s="1">
        <f t="shared" si="24"/>
        <v>0</v>
      </c>
      <c r="DY46" s="1" t="str">
        <f t="array" ref="DY46">_xlfn.LET(
_xlpm.a,LOWER(TRIM(DQ46&amp;"")),
_xlpm.b,LOWER(TRIM(DR46&amp;"")),
_xlpm.x,_xlfn.IFS(_xlpm.a="0",0,_xlpm.a="none",0,_xlpm.a="moderate",1,_xlpm.a="strong",2),
_xlpm.y,_xlfn.IFS(_xlpm.b="0",0,_xlpm.b="none",0,_xlpm.b="moderate",1,_xlpm.b="strong",2),
_xlpm.d,ABS(_xlpm.x-_xlpm.y),
IF(_xlpm.d=0,"green",IF(_xlpm.d=1,"orange",IF(_xlpm.d=2,"red","check")))
)</f>
        <v>green</v>
      </c>
      <c r="DZ46" s="1" t="str">
        <f t="array" ref="DZ46">_xlfn.LET(
_xlpm.a,LOWER(TRIM(DS46&amp;"")),
_xlpm.b,LOWER(TRIM(DT46&amp;"")),
_xlpm.x,_xlfn.IFS(_xlpm.a="0",0,_xlpm.a="none",0,_xlpm.a="moderate",1,_xlpm.a="strong",2),
_xlpm.y,_xlfn.IFS(_xlpm.b="0",0,_xlpm.b="none",0,_xlpm.b="moderate",1,_xlpm.b="strong",2),
_xlpm.d,ABS(_xlpm.x-_xlpm.y),
IF(_xlpm.d=0,"green",IF(_xlpm.d=1,"orange",IF(_xlpm.d=2,"red","check")))
)</f>
        <v>green</v>
      </c>
      <c r="EA46" s="1" t="str">
        <f t="array" ref="EA46">_xlfn.LET(
_xlpm.a,LOWER(TRIM(DU46&amp;"")),
_xlpm.b,LOWER(TRIM(DV46&amp;"")),
_xlpm.x,_xlfn.IFS(_xlpm.a="0",0,_xlpm.a="none",0,_xlpm.a="moderate",1,_xlpm.a="strong",2),
_xlpm.y,_xlfn.IFS(_xlpm.b="0",0,_xlpm.b="none",0,_xlpm.b="moderate",1,_xlpm.b="strong",2),
_xlpm.d,ABS(_xlpm.x-_xlpm.y),
IF(_xlpm.d=0,"green",IF(_xlpm.d=1,"orange",IF(_xlpm.d=2,"red","check")))
)</f>
        <v>green</v>
      </c>
      <c r="EB46" s="1" t="str">
        <f t="array" ref="EB46">_xlfn.LET(
_xlpm.a,LOWER(TRIM(DW46&amp;"")),
_xlpm.b,LOWER(TRIM(DX46&amp;"")),
_xlpm.x,_xlfn.IFS(_xlpm.a="0",0,_xlpm.a="none",0,_xlpm.a="moderate",1,_xlpm.a="strong",2),
_xlpm.y,_xlfn.IFS(_xlpm.b="0",0,_xlpm.b="none",0,_xlpm.b="moderate",1,_xlpm.b="strong",2),
_xlpm.d,ABS(_xlpm.x-_xlpm.y),
IF(_xlpm.d=0,"green",IF(_xlpm.d=1,"orange",IF(_xlpm.d=2,"red","check")))
)</f>
        <v>green</v>
      </c>
      <c r="EC46"/>
      <c r="ED46"/>
      <c r="EE46"/>
      <c r="EF46"/>
      <c r="EG46"/>
      <c r="EH46"/>
      <c r="EI46"/>
      <c r="EJ46"/>
      <c r="EK46"/>
      <c r="EL46"/>
      <c r="EM46"/>
      <c r="EN46"/>
      <c r="EO46"/>
      <c r="EP46"/>
      <c r="EQ46"/>
      <c r="ER46"/>
      <c r="ES46" s="58" t="str">
        <f t="shared" si="8"/>
        <v/>
      </c>
      <c r="ET46" s="58" t="str">
        <f t="shared" si="9"/>
        <v>No</v>
      </c>
      <c r="EU46" s="59" t="str">
        <f t="shared" si="15"/>
        <v>Uninformative</v>
      </c>
      <c r="EV46" s="59" t="str">
        <f t="shared" si="16"/>
        <v>Uninformative</v>
      </c>
      <c r="EW46" s="59" t="str">
        <f t="shared" si="10"/>
        <v>Uninformative</v>
      </c>
      <c r="EX46" s="58" t="str">
        <f t="shared" si="11"/>
        <v>Uninformative</v>
      </c>
      <c r="EY46" s="58" t="str">
        <f t="shared" si="12"/>
        <v>Uninformative</v>
      </c>
      <c r="EZ46" s="58" t="str">
        <f t="shared" si="13"/>
        <v>Uninformative</v>
      </c>
      <c r="FA46" s="58" t="str">
        <f t="shared" si="14"/>
        <v>No</v>
      </c>
    </row>
    <row r="47" spans="1:157" ht="20" customHeight="1">
      <c r="A47" s="32"/>
      <c r="B47" s="32"/>
      <c r="C47" s="32"/>
      <c r="D47" s="32"/>
      <c r="E47" s="32"/>
      <c r="F47" s="32"/>
      <c r="G47" s="32"/>
      <c r="H47" s="32"/>
      <c r="I47" s="32"/>
      <c r="J47" s="32"/>
      <c r="K47" s="32"/>
      <c r="L47" s="32"/>
      <c r="M47" s="32"/>
      <c r="N47" s="32"/>
      <c r="O47" s="32"/>
      <c r="P47" s="32"/>
      <c r="Q47" s="32"/>
      <c r="R47" s="32"/>
      <c r="S47" s="32"/>
      <c r="T47" s="32"/>
      <c r="U47" s="32"/>
      <c r="V47" s="32"/>
      <c r="W47" s="32"/>
      <c r="X47"/>
      <c r="Y47"/>
      <c r="Z47"/>
      <c r="AA47"/>
      <c r="AB47"/>
      <c r="AC47"/>
      <c r="AD47"/>
      <c r="AE47"/>
      <c r="AG47"/>
      <c r="AH47"/>
      <c r="AI47"/>
      <c r="AJ47"/>
      <c r="AK47"/>
      <c r="AL47"/>
      <c r="AM47"/>
      <c r="AN47"/>
      <c r="AO47"/>
      <c r="AP47"/>
      <c r="AQ47"/>
      <c r="AR47"/>
      <c r="AS47"/>
      <c r="AT47"/>
      <c r="AU47"/>
      <c r="AV47"/>
      <c r="AW47"/>
      <c r="AX47"/>
      <c r="AY47"/>
      <c r="AZ47"/>
      <c r="BE47"/>
      <c r="BF47"/>
      <c r="BG47"/>
      <c r="BH47"/>
      <c r="BU47"/>
      <c r="BV47"/>
      <c r="BW47"/>
      <c r="BX47"/>
      <c r="BY47"/>
      <c r="BZ47"/>
      <c r="CB47"/>
      <c r="CC47"/>
      <c r="CD47"/>
      <c r="CF47"/>
      <c r="CG47"/>
      <c r="CH47"/>
      <c r="CJ47"/>
      <c r="CK47"/>
      <c r="CM47"/>
      <c r="CQ47"/>
      <c r="CR47"/>
      <c r="CS47"/>
      <c r="CT47"/>
      <c r="CU47"/>
      <c r="CV47"/>
      <c r="CW47"/>
      <c r="CX47"/>
      <c r="CY47"/>
      <c r="CZ47"/>
      <c r="DA47"/>
      <c r="DB47"/>
      <c r="DC47"/>
      <c r="DD47"/>
      <c r="DE47"/>
      <c r="DF47"/>
      <c r="DG47"/>
      <c r="DH47"/>
      <c r="DI47"/>
      <c r="DJ47"/>
      <c r="DK47"/>
      <c r="DL47"/>
      <c r="DM47"/>
      <c r="DN47"/>
      <c r="DO47"/>
      <c r="DP47"/>
      <c r="DQ47" s="1">
        <f t="shared" si="17"/>
        <v>0</v>
      </c>
      <c r="DR47" s="1">
        <f t="shared" si="18"/>
        <v>0</v>
      </c>
      <c r="DS47" s="1">
        <f t="shared" si="19"/>
        <v>0</v>
      </c>
      <c r="DT47" s="1">
        <f t="shared" si="20"/>
        <v>0</v>
      </c>
      <c r="DU47" s="1">
        <f t="shared" si="21"/>
        <v>0</v>
      </c>
      <c r="DV47" s="1">
        <f t="shared" si="22"/>
        <v>0</v>
      </c>
      <c r="DW47" s="1">
        <f t="shared" si="23"/>
        <v>0</v>
      </c>
      <c r="DX47" s="1">
        <f t="shared" si="24"/>
        <v>0</v>
      </c>
      <c r="DY47" s="1" t="str">
        <f t="array" ref="DY47">_xlfn.LET(
_xlpm.a,LOWER(TRIM(DQ47&amp;"")),
_xlpm.b,LOWER(TRIM(DR47&amp;"")),
_xlpm.x,_xlfn.IFS(_xlpm.a="0",0,_xlpm.a="none",0,_xlpm.a="moderate",1,_xlpm.a="strong",2),
_xlpm.y,_xlfn.IFS(_xlpm.b="0",0,_xlpm.b="none",0,_xlpm.b="moderate",1,_xlpm.b="strong",2),
_xlpm.d,ABS(_xlpm.x-_xlpm.y),
IF(_xlpm.d=0,"green",IF(_xlpm.d=1,"orange",IF(_xlpm.d=2,"red","check")))
)</f>
        <v>green</v>
      </c>
      <c r="DZ47" s="1" t="str">
        <f t="array" ref="DZ47">_xlfn.LET(
_xlpm.a,LOWER(TRIM(DS47&amp;"")),
_xlpm.b,LOWER(TRIM(DT47&amp;"")),
_xlpm.x,_xlfn.IFS(_xlpm.a="0",0,_xlpm.a="none",0,_xlpm.a="moderate",1,_xlpm.a="strong",2),
_xlpm.y,_xlfn.IFS(_xlpm.b="0",0,_xlpm.b="none",0,_xlpm.b="moderate",1,_xlpm.b="strong",2),
_xlpm.d,ABS(_xlpm.x-_xlpm.y),
IF(_xlpm.d=0,"green",IF(_xlpm.d=1,"orange",IF(_xlpm.d=2,"red","check")))
)</f>
        <v>green</v>
      </c>
      <c r="EA47" s="1" t="str">
        <f t="array" ref="EA47">_xlfn.LET(
_xlpm.a,LOWER(TRIM(DU47&amp;"")),
_xlpm.b,LOWER(TRIM(DV47&amp;"")),
_xlpm.x,_xlfn.IFS(_xlpm.a="0",0,_xlpm.a="none",0,_xlpm.a="moderate",1,_xlpm.a="strong",2),
_xlpm.y,_xlfn.IFS(_xlpm.b="0",0,_xlpm.b="none",0,_xlpm.b="moderate",1,_xlpm.b="strong",2),
_xlpm.d,ABS(_xlpm.x-_xlpm.y),
IF(_xlpm.d=0,"green",IF(_xlpm.d=1,"orange",IF(_xlpm.d=2,"red","check")))
)</f>
        <v>green</v>
      </c>
      <c r="EB47" s="1" t="str">
        <f t="array" ref="EB47">_xlfn.LET(
_xlpm.a,LOWER(TRIM(DW47&amp;"")),
_xlpm.b,LOWER(TRIM(DX47&amp;"")),
_xlpm.x,_xlfn.IFS(_xlpm.a="0",0,_xlpm.a="none",0,_xlpm.a="moderate",1,_xlpm.a="strong",2),
_xlpm.y,_xlfn.IFS(_xlpm.b="0",0,_xlpm.b="none",0,_xlpm.b="moderate",1,_xlpm.b="strong",2),
_xlpm.d,ABS(_xlpm.x-_xlpm.y),
IF(_xlpm.d=0,"green",IF(_xlpm.d=1,"orange",IF(_xlpm.d=2,"red","check")))
)</f>
        <v>green</v>
      </c>
      <c r="EC47"/>
      <c r="ED47"/>
      <c r="EE47"/>
      <c r="EF47"/>
      <c r="EG47"/>
      <c r="EH47"/>
      <c r="EI47"/>
      <c r="EJ47"/>
      <c r="EK47"/>
      <c r="EL47"/>
      <c r="EM47"/>
      <c r="EN47"/>
      <c r="EO47"/>
      <c r="EP47"/>
      <c r="EQ47"/>
      <c r="ER47"/>
      <c r="ES47" s="58" t="str">
        <f t="shared" si="8"/>
        <v/>
      </c>
      <c r="ET47" s="58" t="str">
        <f t="shared" si="9"/>
        <v>No</v>
      </c>
      <c r="EU47" s="59" t="str">
        <f t="shared" si="15"/>
        <v>Uninformative</v>
      </c>
      <c r="EV47" s="59" t="str">
        <f t="shared" si="16"/>
        <v>Uninformative</v>
      </c>
      <c r="EW47" s="59" t="str">
        <f t="shared" si="10"/>
        <v>Uninformative</v>
      </c>
      <c r="EX47" s="58" t="str">
        <f t="shared" si="11"/>
        <v>Uninformative</v>
      </c>
      <c r="EY47" s="58" t="str">
        <f t="shared" si="12"/>
        <v>Uninformative</v>
      </c>
      <c r="EZ47" s="58" t="str">
        <f t="shared" si="13"/>
        <v>Uninformative</v>
      </c>
      <c r="FA47" s="58" t="str">
        <f t="shared" si="14"/>
        <v>No</v>
      </c>
    </row>
    <row r="48" spans="1:157" ht="20" customHeight="1">
      <c r="A48" s="32"/>
      <c r="B48" s="32"/>
      <c r="C48" s="32"/>
      <c r="D48" s="32"/>
      <c r="E48" s="32"/>
      <c r="F48" s="32"/>
      <c r="G48" s="32"/>
      <c r="H48" s="32"/>
      <c r="I48" s="32"/>
      <c r="J48" s="32"/>
      <c r="K48" s="32"/>
      <c r="L48" s="32"/>
      <c r="M48" s="32"/>
      <c r="N48" s="32"/>
      <c r="O48" s="32"/>
      <c r="P48" s="32"/>
      <c r="Q48" s="32"/>
      <c r="R48" s="32"/>
      <c r="S48" s="32"/>
      <c r="T48" s="32"/>
      <c r="U48" s="32"/>
      <c r="V48" s="32"/>
      <c r="W48" s="32"/>
      <c r="X48"/>
      <c r="Y48"/>
      <c r="Z48"/>
      <c r="AA48"/>
      <c r="AB48"/>
      <c r="AC48"/>
      <c r="AD48"/>
      <c r="AE48"/>
      <c r="AG48"/>
      <c r="AH48"/>
      <c r="AI48"/>
      <c r="AJ48"/>
      <c r="AK48"/>
      <c r="AL48"/>
      <c r="AM48"/>
      <c r="AN48"/>
      <c r="AO48"/>
      <c r="AP48"/>
      <c r="AQ48"/>
      <c r="AR48"/>
      <c r="AS48"/>
      <c r="AT48"/>
      <c r="AU48"/>
      <c r="AV48"/>
      <c r="AW48"/>
      <c r="AX48"/>
      <c r="AY48"/>
      <c r="AZ48"/>
      <c r="BA48"/>
      <c r="BB48"/>
      <c r="BC48"/>
      <c r="BD48"/>
      <c r="BE48"/>
      <c r="BF48"/>
      <c r="BG48"/>
      <c r="BH48"/>
      <c r="BI48"/>
      <c r="BJ48"/>
      <c r="BK48"/>
      <c r="BL48"/>
      <c r="BQ48"/>
      <c r="BR48"/>
      <c r="BS48"/>
      <c r="BT48"/>
      <c r="BU48"/>
      <c r="BV48"/>
      <c r="BW48"/>
      <c r="BX48"/>
      <c r="BY48"/>
      <c r="BZ48"/>
      <c r="CB48"/>
      <c r="CC48"/>
      <c r="CD48"/>
      <c r="CF48"/>
      <c r="CG48"/>
      <c r="CH48"/>
      <c r="CJ48"/>
      <c r="CK48"/>
      <c r="CL48"/>
      <c r="CM48"/>
      <c r="CN48"/>
      <c r="CP48"/>
      <c r="CQ48"/>
      <c r="CR48"/>
      <c r="CS48"/>
      <c r="CT48"/>
      <c r="CU48"/>
      <c r="CV48"/>
      <c r="CW48"/>
      <c r="CX48"/>
      <c r="CY48"/>
      <c r="CZ48"/>
      <c r="DA48"/>
      <c r="DB48"/>
      <c r="DC48"/>
      <c r="DD48"/>
      <c r="DE48"/>
      <c r="DF48"/>
      <c r="DG48"/>
      <c r="DH48"/>
      <c r="DI48"/>
      <c r="DJ48"/>
      <c r="DK48"/>
      <c r="DL48"/>
      <c r="DM48"/>
      <c r="DN48"/>
      <c r="DO48"/>
      <c r="DP48"/>
      <c r="DQ48" s="1">
        <f t="shared" si="17"/>
        <v>0</v>
      </c>
      <c r="DR48" s="1">
        <f t="shared" si="18"/>
        <v>0</v>
      </c>
      <c r="DS48" s="1">
        <f t="shared" si="19"/>
        <v>0</v>
      </c>
      <c r="DT48" s="1">
        <f t="shared" si="20"/>
        <v>0</v>
      </c>
      <c r="DU48" s="1">
        <f t="shared" si="21"/>
        <v>0</v>
      </c>
      <c r="DV48" s="1">
        <f t="shared" si="22"/>
        <v>0</v>
      </c>
      <c r="DW48" s="1">
        <f t="shared" si="23"/>
        <v>0</v>
      </c>
      <c r="DX48" s="1">
        <f t="shared" si="24"/>
        <v>0</v>
      </c>
      <c r="DY48" s="1" t="str">
        <f t="array" ref="DY48">_xlfn.LET(
_xlpm.a,LOWER(TRIM(DQ48&amp;"")),
_xlpm.b,LOWER(TRIM(DR48&amp;"")),
_xlpm.x,_xlfn.IFS(_xlpm.a="0",0,_xlpm.a="none",0,_xlpm.a="moderate",1,_xlpm.a="strong",2),
_xlpm.y,_xlfn.IFS(_xlpm.b="0",0,_xlpm.b="none",0,_xlpm.b="moderate",1,_xlpm.b="strong",2),
_xlpm.d,ABS(_xlpm.x-_xlpm.y),
IF(_xlpm.d=0,"green",IF(_xlpm.d=1,"orange",IF(_xlpm.d=2,"red","check")))
)</f>
        <v>green</v>
      </c>
      <c r="DZ48" s="1" t="str">
        <f t="array" ref="DZ48">_xlfn.LET(
_xlpm.a,LOWER(TRIM(DS48&amp;"")),
_xlpm.b,LOWER(TRIM(DT48&amp;"")),
_xlpm.x,_xlfn.IFS(_xlpm.a="0",0,_xlpm.a="none",0,_xlpm.a="moderate",1,_xlpm.a="strong",2),
_xlpm.y,_xlfn.IFS(_xlpm.b="0",0,_xlpm.b="none",0,_xlpm.b="moderate",1,_xlpm.b="strong",2),
_xlpm.d,ABS(_xlpm.x-_xlpm.y),
IF(_xlpm.d=0,"green",IF(_xlpm.d=1,"orange",IF(_xlpm.d=2,"red","check")))
)</f>
        <v>green</v>
      </c>
      <c r="EA48" s="1" t="str">
        <f t="array" ref="EA48">_xlfn.LET(
_xlpm.a,LOWER(TRIM(DU48&amp;"")),
_xlpm.b,LOWER(TRIM(DV48&amp;"")),
_xlpm.x,_xlfn.IFS(_xlpm.a="0",0,_xlpm.a="none",0,_xlpm.a="moderate",1,_xlpm.a="strong",2),
_xlpm.y,_xlfn.IFS(_xlpm.b="0",0,_xlpm.b="none",0,_xlpm.b="moderate",1,_xlpm.b="strong",2),
_xlpm.d,ABS(_xlpm.x-_xlpm.y),
IF(_xlpm.d=0,"green",IF(_xlpm.d=1,"orange",IF(_xlpm.d=2,"red","check")))
)</f>
        <v>green</v>
      </c>
      <c r="EB48" s="1" t="str">
        <f t="array" ref="EB48">_xlfn.LET(
_xlpm.a,LOWER(TRIM(DW48&amp;"")),
_xlpm.b,LOWER(TRIM(DX48&amp;"")),
_xlpm.x,_xlfn.IFS(_xlpm.a="0",0,_xlpm.a="none",0,_xlpm.a="moderate",1,_xlpm.a="strong",2),
_xlpm.y,_xlfn.IFS(_xlpm.b="0",0,_xlpm.b="none",0,_xlpm.b="moderate",1,_xlpm.b="strong",2),
_xlpm.d,ABS(_xlpm.x-_xlpm.y),
IF(_xlpm.d=0,"green",IF(_xlpm.d=1,"orange",IF(_xlpm.d=2,"red","check")))
)</f>
        <v>green</v>
      </c>
      <c r="EC48"/>
      <c r="ED48"/>
      <c r="EE48"/>
      <c r="EF48"/>
      <c r="EG48"/>
      <c r="EH48"/>
      <c r="EI48"/>
      <c r="EJ48"/>
      <c r="EK48"/>
      <c r="EL48"/>
      <c r="EM48"/>
      <c r="EN48"/>
      <c r="EO48"/>
      <c r="EP48"/>
      <c r="EQ48"/>
      <c r="ER48"/>
      <c r="ES48" s="58" t="str">
        <f t="shared" si="8"/>
        <v/>
      </c>
      <c r="ET48" s="58" t="str">
        <f t="shared" si="9"/>
        <v>No</v>
      </c>
      <c r="EU48" s="59" t="str">
        <f t="shared" si="15"/>
        <v>Uninformative</v>
      </c>
      <c r="EV48" s="59" t="str">
        <f t="shared" si="16"/>
        <v>Uninformative</v>
      </c>
      <c r="EW48" s="59" t="str">
        <f t="shared" si="10"/>
        <v>Uninformative</v>
      </c>
      <c r="EX48" s="58" t="str">
        <f t="shared" si="11"/>
        <v>Uninformative</v>
      </c>
      <c r="EY48" s="58" t="str">
        <f t="shared" si="12"/>
        <v>Uninformative</v>
      </c>
      <c r="EZ48" s="58" t="str">
        <f t="shared" si="13"/>
        <v>Uninformative</v>
      </c>
      <c r="FA48" s="58" t="str">
        <f t="shared" si="14"/>
        <v>No</v>
      </c>
    </row>
    <row r="49" spans="1:157" ht="20" customHeight="1">
      <c r="A49" s="32"/>
      <c r="B49" s="32"/>
      <c r="C49" s="32"/>
      <c r="D49" s="32"/>
      <c r="E49" s="32"/>
      <c r="F49" s="32"/>
      <c r="G49" s="32"/>
      <c r="H49" s="32"/>
      <c r="I49" s="32"/>
      <c r="J49" s="32"/>
      <c r="K49" s="32"/>
      <c r="L49" s="32"/>
      <c r="M49" s="32"/>
      <c r="N49" s="32"/>
      <c r="O49" s="32"/>
      <c r="P49" s="32"/>
      <c r="Q49" s="32"/>
      <c r="R49" s="32"/>
      <c r="S49" s="32"/>
      <c r="T49" s="32"/>
      <c r="U49" s="32"/>
      <c r="V49" s="32"/>
      <c r="W49" s="32"/>
      <c r="X49"/>
      <c r="Y49"/>
      <c r="Z49"/>
      <c r="AA49"/>
      <c r="AB49"/>
      <c r="AC49"/>
      <c r="AD49"/>
      <c r="AE49"/>
      <c r="AG49"/>
      <c r="AH49"/>
      <c r="AI49"/>
      <c r="AJ49"/>
      <c r="AK49"/>
      <c r="AL49"/>
      <c r="AM49"/>
      <c r="AN49"/>
      <c r="AO49"/>
      <c r="AP49"/>
      <c r="AQ49"/>
      <c r="AR49"/>
      <c r="AS49"/>
      <c r="AT49"/>
      <c r="AU49"/>
      <c r="AV49"/>
      <c r="AW49"/>
      <c r="AX49"/>
      <c r="AY49"/>
      <c r="AZ49"/>
      <c r="BA49"/>
      <c r="BB49"/>
      <c r="BC49"/>
      <c r="BD49"/>
      <c r="BE49"/>
      <c r="BF49"/>
      <c r="BG49"/>
      <c r="BH49"/>
      <c r="BI49"/>
      <c r="BJ49"/>
      <c r="BK49"/>
      <c r="BL49"/>
      <c r="BQ49"/>
      <c r="BR49"/>
      <c r="BS49"/>
      <c r="BT49"/>
      <c r="BU49"/>
      <c r="BV49"/>
      <c r="BW49"/>
      <c r="BX49"/>
      <c r="BY49"/>
      <c r="BZ49"/>
      <c r="CB49"/>
      <c r="CC49"/>
      <c r="CD49"/>
      <c r="CF49"/>
      <c r="CG49"/>
      <c r="CH49"/>
      <c r="CJ49"/>
      <c r="CK49"/>
      <c r="CL49"/>
      <c r="CM49"/>
      <c r="CN49"/>
      <c r="CP49"/>
      <c r="CQ49"/>
      <c r="CR49"/>
      <c r="CS49"/>
      <c r="CT49"/>
      <c r="CU49"/>
      <c r="CV49"/>
      <c r="CW49" s="16"/>
      <c r="CX49"/>
      <c r="CY49"/>
      <c r="CZ49"/>
      <c r="DA49"/>
      <c r="DB49"/>
      <c r="DC49"/>
      <c r="DD49"/>
      <c r="DE49"/>
      <c r="DF49"/>
      <c r="DG49"/>
      <c r="DH49"/>
      <c r="DI49"/>
      <c r="DJ49"/>
      <c r="DK49"/>
      <c r="DL49"/>
      <c r="DM49"/>
      <c r="DN49"/>
      <c r="DO49"/>
      <c r="DP49"/>
      <c r="DQ49" s="1">
        <f t="shared" si="17"/>
        <v>0</v>
      </c>
      <c r="DR49" s="1">
        <f t="shared" si="18"/>
        <v>0</v>
      </c>
      <c r="DS49" s="1">
        <f t="shared" si="19"/>
        <v>0</v>
      </c>
      <c r="DT49" s="1">
        <f t="shared" si="20"/>
        <v>0</v>
      </c>
      <c r="DU49" s="1">
        <f t="shared" si="21"/>
        <v>0</v>
      </c>
      <c r="DV49" s="1">
        <f t="shared" si="22"/>
        <v>0</v>
      </c>
      <c r="DW49" s="1">
        <f t="shared" si="23"/>
        <v>0</v>
      </c>
      <c r="DX49" s="1">
        <f t="shared" si="24"/>
        <v>0</v>
      </c>
      <c r="DY49" s="1" t="str">
        <f t="array" ref="DY49">_xlfn.LET(
_xlpm.a,LOWER(TRIM(DQ49&amp;"")),
_xlpm.b,LOWER(TRIM(DR49&amp;"")),
_xlpm.x,_xlfn.IFS(_xlpm.a="0",0,_xlpm.a="none",0,_xlpm.a="moderate",1,_xlpm.a="strong",2),
_xlpm.y,_xlfn.IFS(_xlpm.b="0",0,_xlpm.b="none",0,_xlpm.b="moderate",1,_xlpm.b="strong",2),
_xlpm.d,ABS(_xlpm.x-_xlpm.y),
IF(_xlpm.d=0,"green",IF(_xlpm.d=1,"orange",IF(_xlpm.d=2,"red","check")))
)</f>
        <v>green</v>
      </c>
      <c r="DZ49" s="1" t="str">
        <f t="array" ref="DZ49">_xlfn.LET(
_xlpm.a,LOWER(TRIM(DS49&amp;"")),
_xlpm.b,LOWER(TRIM(DT49&amp;"")),
_xlpm.x,_xlfn.IFS(_xlpm.a="0",0,_xlpm.a="none",0,_xlpm.a="moderate",1,_xlpm.a="strong",2),
_xlpm.y,_xlfn.IFS(_xlpm.b="0",0,_xlpm.b="none",0,_xlpm.b="moderate",1,_xlpm.b="strong",2),
_xlpm.d,ABS(_xlpm.x-_xlpm.y),
IF(_xlpm.d=0,"green",IF(_xlpm.d=1,"orange",IF(_xlpm.d=2,"red","check")))
)</f>
        <v>green</v>
      </c>
      <c r="EA49" s="1" t="str">
        <f t="array" ref="EA49">_xlfn.LET(
_xlpm.a,LOWER(TRIM(DU49&amp;"")),
_xlpm.b,LOWER(TRIM(DV49&amp;"")),
_xlpm.x,_xlfn.IFS(_xlpm.a="0",0,_xlpm.a="none",0,_xlpm.a="moderate",1,_xlpm.a="strong",2),
_xlpm.y,_xlfn.IFS(_xlpm.b="0",0,_xlpm.b="none",0,_xlpm.b="moderate",1,_xlpm.b="strong",2),
_xlpm.d,ABS(_xlpm.x-_xlpm.y),
IF(_xlpm.d=0,"green",IF(_xlpm.d=1,"orange",IF(_xlpm.d=2,"red","check")))
)</f>
        <v>green</v>
      </c>
      <c r="EB49" s="1" t="str">
        <f t="array" ref="EB49">_xlfn.LET(
_xlpm.a,LOWER(TRIM(DW49&amp;"")),
_xlpm.b,LOWER(TRIM(DX49&amp;"")),
_xlpm.x,_xlfn.IFS(_xlpm.a="0",0,_xlpm.a="none",0,_xlpm.a="moderate",1,_xlpm.a="strong",2),
_xlpm.y,_xlfn.IFS(_xlpm.b="0",0,_xlpm.b="none",0,_xlpm.b="moderate",1,_xlpm.b="strong",2),
_xlpm.d,ABS(_xlpm.x-_xlpm.y),
IF(_xlpm.d=0,"green",IF(_xlpm.d=1,"orange",IF(_xlpm.d=2,"red","check")))
)</f>
        <v>green</v>
      </c>
      <c r="EC49"/>
      <c r="ED49"/>
      <c r="EE49"/>
      <c r="EF49"/>
      <c r="EG49"/>
      <c r="EH49"/>
      <c r="EI49"/>
      <c r="EJ49"/>
      <c r="EK49"/>
      <c r="EL49"/>
      <c r="EM49"/>
      <c r="EN49"/>
      <c r="EO49"/>
      <c r="EP49"/>
      <c r="EQ49"/>
      <c r="ER49"/>
      <c r="ES49" s="58" t="str">
        <f t="shared" si="8"/>
        <v/>
      </c>
      <c r="ET49" s="58" t="str">
        <f t="shared" si="9"/>
        <v>No</v>
      </c>
      <c r="EU49" s="59" t="str">
        <f t="shared" si="15"/>
        <v>Uninformative</v>
      </c>
      <c r="EV49" s="59" t="str">
        <f t="shared" si="16"/>
        <v>Uninformative</v>
      </c>
      <c r="EW49" s="59" t="str">
        <f t="shared" si="10"/>
        <v>Uninformative</v>
      </c>
      <c r="EX49" s="58" t="str">
        <f t="shared" si="11"/>
        <v>Uninformative</v>
      </c>
      <c r="EY49" s="58" t="str">
        <f t="shared" si="12"/>
        <v>Uninformative</v>
      </c>
      <c r="EZ49" s="58" t="str">
        <f t="shared" si="13"/>
        <v>Uninformative</v>
      </c>
      <c r="FA49" s="58" t="str">
        <f t="shared" si="14"/>
        <v>No</v>
      </c>
    </row>
    <row r="50" spans="1:157" ht="20" customHeight="1">
      <c r="A50" s="32"/>
      <c r="B50" s="32"/>
      <c r="C50" s="32"/>
      <c r="D50" s="32"/>
      <c r="E50" s="32"/>
      <c r="F50" s="32"/>
      <c r="G50" s="32"/>
      <c r="H50" s="32"/>
      <c r="I50" s="32"/>
      <c r="J50" s="32"/>
      <c r="K50" s="32"/>
      <c r="L50" s="32"/>
      <c r="M50" s="32"/>
      <c r="N50" s="32"/>
      <c r="O50" s="32"/>
      <c r="P50" s="32"/>
      <c r="Q50" s="32"/>
      <c r="R50" s="32"/>
      <c r="S50" s="32"/>
      <c r="T50" s="32"/>
      <c r="U50" s="32"/>
      <c r="V50" s="32"/>
      <c r="W50" s="32"/>
      <c r="X50"/>
      <c r="AA50"/>
      <c r="AB50"/>
      <c r="AM50"/>
      <c r="AN50"/>
      <c r="AO50"/>
      <c r="AP50"/>
      <c r="AQ50"/>
      <c r="AR50"/>
      <c r="AS50"/>
      <c r="AT50"/>
      <c r="AU50"/>
      <c r="AV50"/>
      <c r="AW50"/>
      <c r="AX50"/>
      <c r="AY50"/>
      <c r="AZ50"/>
      <c r="BA50"/>
      <c r="BB50"/>
      <c r="BC50"/>
      <c r="BD50"/>
      <c r="BE50"/>
      <c r="BF50"/>
      <c r="BG50"/>
      <c r="BH50"/>
      <c r="BI50"/>
      <c r="BJ50"/>
      <c r="BK50"/>
      <c r="BL50"/>
      <c r="BQ50"/>
      <c r="BR50"/>
      <c r="BS50"/>
      <c r="BT50"/>
      <c r="BU50"/>
      <c r="BV50"/>
      <c r="BW50"/>
      <c r="BX50"/>
      <c r="BY50"/>
      <c r="BZ50"/>
      <c r="CB50"/>
      <c r="CC50"/>
      <c r="CD50"/>
      <c r="CF50"/>
      <c r="CG50"/>
      <c r="CH50"/>
      <c r="CJ50"/>
      <c r="CK50"/>
      <c r="CL50"/>
      <c r="CM50"/>
      <c r="CN50"/>
      <c r="CP50"/>
      <c r="CQ50"/>
      <c r="CR50"/>
      <c r="CS50"/>
      <c r="CT50"/>
      <c r="CU50"/>
      <c r="CV50"/>
      <c r="CW50"/>
      <c r="CX50"/>
      <c r="CY50"/>
      <c r="CZ50"/>
      <c r="DA50"/>
      <c r="DB50"/>
      <c r="DC50"/>
      <c r="DD50"/>
      <c r="DE50"/>
      <c r="DF50"/>
      <c r="DG50"/>
      <c r="DH50"/>
      <c r="DI50"/>
      <c r="DJ50"/>
      <c r="DK50"/>
      <c r="DL50"/>
      <c r="DM50"/>
      <c r="DN50"/>
      <c r="DO50"/>
      <c r="DP50"/>
      <c r="DQ50" s="1">
        <f t="shared" si="17"/>
        <v>0</v>
      </c>
      <c r="DR50" s="1">
        <f t="shared" si="18"/>
        <v>0</v>
      </c>
      <c r="DS50" s="1">
        <f t="shared" si="19"/>
        <v>0</v>
      </c>
      <c r="DT50" s="1">
        <f t="shared" si="20"/>
        <v>0</v>
      </c>
      <c r="DU50" s="1">
        <f t="shared" si="21"/>
        <v>0</v>
      </c>
      <c r="DV50" s="1">
        <f t="shared" si="22"/>
        <v>0</v>
      </c>
      <c r="DW50" s="1">
        <f t="shared" si="23"/>
        <v>0</v>
      </c>
      <c r="DX50" s="1">
        <f t="shared" si="24"/>
        <v>0</v>
      </c>
      <c r="DY50" s="1" t="str">
        <f t="array" ref="DY50">_xlfn.LET(
_xlpm.a,LOWER(TRIM(DQ50&amp;"")),
_xlpm.b,LOWER(TRIM(DR50&amp;"")),
_xlpm.x,_xlfn.IFS(_xlpm.a="0",0,_xlpm.a="none",0,_xlpm.a="moderate",1,_xlpm.a="strong",2),
_xlpm.y,_xlfn.IFS(_xlpm.b="0",0,_xlpm.b="none",0,_xlpm.b="moderate",1,_xlpm.b="strong",2),
_xlpm.d,ABS(_xlpm.x-_xlpm.y),
IF(_xlpm.d=0,"green",IF(_xlpm.d=1,"orange",IF(_xlpm.d=2,"red","check")))
)</f>
        <v>green</v>
      </c>
      <c r="DZ50" s="1" t="str">
        <f t="array" ref="DZ50">_xlfn.LET(
_xlpm.a,LOWER(TRIM(DS50&amp;"")),
_xlpm.b,LOWER(TRIM(DT50&amp;"")),
_xlpm.x,_xlfn.IFS(_xlpm.a="0",0,_xlpm.a="none",0,_xlpm.a="moderate",1,_xlpm.a="strong",2),
_xlpm.y,_xlfn.IFS(_xlpm.b="0",0,_xlpm.b="none",0,_xlpm.b="moderate",1,_xlpm.b="strong",2),
_xlpm.d,ABS(_xlpm.x-_xlpm.y),
IF(_xlpm.d=0,"green",IF(_xlpm.d=1,"orange",IF(_xlpm.d=2,"red","check")))
)</f>
        <v>green</v>
      </c>
      <c r="EA50" s="1" t="str">
        <f t="array" ref="EA50">_xlfn.LET(
_xlpm.a,LOWER(TRIM(DU50&amp;"")),
_xlpm.b,LOWER(TRIM(DV50&amp;"")),
_xlpm.x,_xlfn.IFS(_xlpm.a="0",0,_xlpm.a="none",0,_xlpm.a="moderate",1,_xlpm.a="strong",2),
_xlpm.y,_xlfn.IFS(_xlpm.b="0",0,_xlpm.b="none",0,_xlpm.b="moderate",1,_xlpm.b="strong",2),
_xlpm.d,ABS(_xlpm.x-_xlpm.y),
IF(_xlpm.d=0,"green",IF(_xlpm.d=1,"orange",IF(_xlpm.d=2,"red","check")))
)</f>
        <v>green</v>
      </c>
      <c r="EB50" s="1" t="str">
        <f t="array" ref="EB50">_xlfn.LET(
_xlpm.a,LOWER(TRIM(DW50&amp;"")),
_xlpm.b,LOWER(TRIM(DX50&amp;"")),
_xlpm.x,_xlfn.IFS(_xlpm.a="0",0,_xlpm.a="none",0,_xlpm.a="moderate",1,_xlpm.a="strong",2),
_xlpm.y,_xlfn.IFS(_xlpm.b="0",0,_xlpm.b="none",0,_xlpm.b="moderate",1,_xlpm.b="strong",2),
_xlpm.d,ABS(_xlpm.x-_xlpm.y),
IF(_xlpm.d=0,"green",IF(_xlpm.d=1,"orange",IF(_xlpm.d=2,"red","check")))
)</f>
        <v>green</v>
      </c>
      <c r="EC50"/>
      <c r="ED50"/>
      <c r="EE50"/>
      <c r="EF50"/>
      <c r="EG50"/>
      <c r="EH50"/>
      <c r="EI50"/>
      <c r="EJ50"/>
      <c r="EK50"/>
      <c r="EL50"/>
      <c r="EM50"/>
      <c r="EN50"/>
      <c r="EO50"/>
      <c r="EP50"/>
      <c r="EQ50"/>
      <c r="ER50"/>
      <c r="ES50" s="58" t="str">
        <f t="shared" si="8"/>
        <v/>
      </c>
      <c r="ET50" s="58" t="str">
        <f t="shared" si="9"/>
        <v>No</v>
      </c>
      <c r="EU50" s="59" t="str">
        <f t="shared" si="15"/>
        <v>Uninformative</v>
      </c>
      <c r="EV50" s="59" t="str">
        <f t="shared" si="16"/>
        <v>Uninformative</v>
      </c>
      <c r="EW50" s="59" t="str">
        <f t="shared" si="10"/>
        <v>Uninformative</v>
      </c>
      <c r="EX50" s="58" t="str">
        <f t="shared" si="11"/>
        <v>Uninformative</v>
      </c>
      <c r="EY50" s="58" t="str">
        <f t="shared" si="12"/>
        <v>Uninformative</v>
      </c>
      <c r="EZ50" s="58" t="str">
        <f t="shared" si="13"/>
        <v>Uninformative</v>
      </c>
      <c r="FA50" s="58" t="str">
        <f t="shared" si="14"/>
        <v>No</v>
      </c>
    </row>
    <row r="51" spans="1:157" ht="20" customHeight="1">
      <c r="A51" s="32"/>
      <c r="B51" s="32"/>
      <c r="C51" s="32"/>
      <c r="D51" s="32"/>
      <c r="E51" s="32"/>
      <c r="F51" s="32"/>
      <c r="G51" s="32"/>
      <c r="H51" s="32"/>
      <c r="I51" s="32"/>
      <c r="J51" s="32"/>
      <c r="K51" s="32"/>
      <c r="L51" s="32"/>
      <c r="M51" s="32"/>
      <c r="N51" s="32"/>
      <c r="O51" s="32"/>
      <c r="P51" s="32"/>
      <c r="Q51" s="32"/>
      <c r="R51" s="32"/>
      <c r="S51" s="32"/>
      <c r="T51" s="32"/>
      <c r="U51" s="32"/>
      <c r="V51" s="32"/>
      <c r="W51" s="32"/>
      <c r="X51"/>
      <c r="Y51"/>
      <c r="Z51"/>
      <c r="AA51"/>
      <c r="AB51"/>
      <c r="AC51"/>
      <c r="AD51"/>
      <c r="AE51"/>
      <c r="AG51"/>
      <c r="AH51"/>
      <c r="AI51"/>
      <c r="AJ51"/>
      <c r="AK51"/>
      <c r="AL51"/>
      <c r="AM51"/>
      <c r="AN51"/>
      <c r="AO51"/>
      <c r="AP51"/>
      <c r="AQ51"/>
      <c r="AR51"/>
      <c r="AS51"/>
      <c r="AT51"/>
      <c r="AU51"/>
      <c r="AV51"/>
      <c r="AW51"/>
      <c r="AX51"/>
      <c r="AY51"/>
      <c r="AZ51"/>
      <c r="BA51"/>
      <c r="BB51"/>
      <c r="BC51"/>
      <c r="BD51"/>
      <c r="BE51"/>
      <c r="BF51"/>
      <c r="BG51"/>
      <c r="BH51"/>
      <c r="BI51"/>
      <c r="BJ51"/>
      <c r="BK51"/>
      <c r="BL51"/>
      <c r="BQ51"/>
      <c r="BR51"/>
      <c r="BS51"/>
      <c r="BT51"/>
      <c r="BU51"/>
      <c r="BV51"/>
      <c r="BW51"/>
      <c r="BX51"/>
      <c r="BY51"/>
      <c r="BZ51"/>
      <c r="CB51"/>
      <c r="CC51"/>
      <c r="CD51"/>
      <c r="CF51"/>
      <c r="CG51"/>
      <c r="CH51"/>
      <c r="CJ51"/>
      <c r="CK51"/>
      <c r="CL51"/>
      <c r="CM51"/>
      <c r="CN51"/>
      <c r="CP51"/>
      <c r="CQ51"/>
      <c r="CR51"/>
      <c r="CS51"/>
      <c r="CT51"/>
      <c r="CU51"/>
      <c r="CV51"/>
      <c r="CW51"/>
      <c r="CX51"/>
      <c r="CY51"/>
      <c r="CZ51"/>
      <c r="DA51"/>
      <c r="DB51"/>
      <c r="DC51"/>
      <c r="DD51"/>
      <c r="DE51"/>
      <c r="DF51"/>
      <c r="DG51"/>
      <c r="DH51"/>
      <c r="DI51"/>
      <c r="DJ51"/>
      <c r="DK51"/>
      <c r="DL51"/>
      <c r="DM51"/>
      <c r="DN51"/>
      <c r="DO51"/>
      <c r="DP51"/>
      <c r="DQ51" s="1">
        <f t="shared" si="17"/>
        <v>0</v>
      </c>
      <c r="DR51" s="1">
        <f t="shared" si="18"/>
        <v>0</v>
      </c>
      <c r="DS51" s="1">
        <f t="shared" si="19"/>
        <v>0</v>
      </c>
      <c r="DT51" s="1">
        <f t="shared" si="20"/>
        <v>0</v>
      </c>
      <c r="DU51" s="1">
        <f t="shared" si="21"/>
        <v>0</v>
      </c>
      <c r="DV51" s="1">
        <f t="shared" si="22"/>
        <v>0</v>
      </c>
      <c r="DW51" s="1">
        <f t="shared" si="23"/>
        <v>0</v>
      </c>
      <c r="DX51" s="1">
        <f t="shared" si="24"/>
        <v>0</v>
      </c>
      <c r="DY51" s="1" t="str">
        <f t="array" ref="DY51">_xlfn.LET(
_xlpm.a,LOWER(TRIM(DQ51&amp;"")),
_xlpm.b,LOWER(TRIM(DR51&amp;"")),
_xlpm.x,_xlfn.IFS(_xlpm.a="0",0,_xlpm.a="none",0,_xlpm.a="moderate",1,_xlpm.a="strong",2),
_xlpm.y,_xlfn.IFS(_xlpm.b="0",0,_xlpm.b="none",0,_xlpm.b="moderate",1,_xlpm.b="strong",2),
_xlpm.d,ABS(_xlpm.x-_xlpm.y),
IF(_xlpm.d=0,"green",IF(_xlpm.d=1,"orange",IF(_xlpm.d=2,"red","check")))
)</f>
        <v>green</v>
      </c>
      <c r="DZ51" s="1" t="str">
        <f t="array" ref="DZ51">_xlfn.LET(
_xlpm.a,LOWER(TRIM(DS51&amp;"")),
_xlpm.b,LOWER(TRIM(DT51&amp;"")),
_xlpm.x,_xlfn.IFS(_xlpm.a="0",0,_xlpm.a="none",0,_xlpm.a="moderate",1,_xlpm.a="strong",2),
_xlpm.y,_xlfn.IFS(_xlpm.b="0",0,_xlpm.b="none",0,_xlpm.b="moderate",1,_xlpm.b="strong",2),
_xlpm.d,ABS(_xlpm.x-_xlpm.y),
IF(_xlpm.d=0,"green",IF(_xlpm.d=1,"orange",IF(_xlpm.d=2,"red","check")))
)</f>
        <v>green</v>
      </c>
      <c r="EA51" s="1" t="str">
        <f t="array" ref="EA51">_xlfn.LET(
_xlpm.a,LOWER(TRIM(DU51&amp;"")),
_xlpm.b,LOWER(TRIM(DV51&amp;"")),
_xlpm.x,_xlfn.IFS(_xlpm.a="0",0,_xlpm.a="none",0,_xlpm.a="moderate",1,_xlpm.a="strong",2),
_xlpm.y,_xlfn.IFS(_xlpm.b="0",0,_xlpm.b="none",0,_xlpm.b="moderate",1,_xlpm.b="strong",2),
_xlpm.d,ABS(_xlpm.x-_xlpm.y),
IF(_xlpm.d=0,"green",IF(_xlpm.d=1,"orange",IF(_xlpm.d=2,"red","check")))
)</f>
        <v>green</v>
      </c>
      <c r="EB51" s="1" t="str">
        <f t="array" ref="EB51">_xlfn.LET(
_xlpm.a,LOWER(TRIM(DW51&amp;"")),
_xlpm.b,LOWER(TRIM(DX51&amp;"")),
_xlpm.x,_xlfn.IFS(_xlpm.a="0",0,_xlpm.a="none",0,_xlpm.a="moderate",1,_xlpm.a="strong",2),
_xlpm.y,_xlfn.IFS(_xlpm.b="0",0,_xlpm.b="none",0,_xlpm.b="moderate",1,_xlpm.b="strong",2),
_xlpm.d,ABS(_xlpm.x-_xlpm.y),
IF(_xlpm.d=0,"green",IF(_xlpm.d=1,"orange",IF(_xlpm.d=2,"red","check")))
)</f>
        <v>green</v>
      </c>
      <c r="EC51"/>
      <c r="ED51"/>
      <c r="EE51"/>
      <c r="EF51"/>
      <c r="EG51"/>
      <c r="EH51"/>
      <c r="EI51"/>
      <c r="EJ51"/>
      <c r="EK51"/>
      <c r="EL51"/>
      <c r="EM51"/>
      <c r="EN51"/>
      <c r="EO51"/>
      <c r="EP51"/>
      <c r="EQ51"/>
      <c r="ER51"/>
      <c r="ES51" s="58" t="str">
        <f t="shared" si="8"/>
        <v/>
      </c>
      <c r="ET51" s="58" t="str">
        <f t="shared" si="9"/>
        <v>No</v>
      </c>
      <c r="EU51" s="59" t="str">
        <f t="shared" si="15"/>
        <v>Uninformative</v>
      </c>
      <c r="EV51" s="59" t="str">
        <f t="shared" si="16"/>
        <v>Uninformative</v>
      </c>
      <c r="EW51" s="59" t="str">
        <f t="shared" si="10"/>
        <v>Uninformative</v>
      </c>
      <c r="EX51" s="58" t="str">
        <f t="shared" si="11"/>
        <v>Uninformative</v>
      </c>
      <c r="EY51" s="58" t="str">
        <f t="shared" si="12"/>
        <v>Uninformative</v>
      </c>
      <c r="EZ51" s="58" t="str">
        <f t="shared" si="13"/>
        <v>Uninformative</v>
      </c>
      <c r="FA51" s="58" t="str">
        <f t="shared" si="14"/>
        <v>No</v>
      </c>
    </row>
    <row r="52" spans="1:157" ht="20" customHeight="1">
      <c r="A52" s="32"/>
      <c r="B52" s="32"/>
      <c r="C52" s="32"/>
      <c r="D52" s="32"/>
      <c r="E52" s="32"/>
      <c r="F52" s="32"/>
      <c r="G52" s="32"/>
      <c r="H52" s="32"/>
      <c r="I52" s="32"/>
      <c r="J52" s="32"/>
      <c r="K52" s="32"/>
      <c r="L52" s="32"/>
      <c r="M52" s="32"/>
      <c r="N52" s="32"/>
      <c r="O52" s="32"/>
      <c r="P52" s="32"/>
      <c r="Q52" s="32"/>
      <c r="R52" s="32"/>
      <c r="S52" s="32"/>
      <c r="T52" s="32"/>
      <c r="U52" s="32"/>
      <c r="V52" s="32"/>
      <c r="W52" s="32"/>
      <c r="X52"/>
      <c r="Y52" s="16"/>
      <c r="Z52"/>
      <c r="AA52"/>
      <c r="AB52"/>
      <c r="AC52"/>
      <c r="AD52"/>
      <c r="AE52"/>
      <c r="AG52"/>
      <c r="AH52"/>
      <c r="AI52"/>
      <c r="AJ52"/>
      <c r="AK52"/>
      <c r="AL52"/>
      <c r="CZ52"/>
      <c r="DA52"/>
      <c r="DB52"/>
      <c r="DC52"/>
      <c r="DD52"/>
      <c r="DE52"/>
      <c r="DF52"/>
      <c r="DG52"/>
      <c r="DH52"/>
      <c r="DI52"/>
      <c r="DJ52"/>
      <c r="DK52"/>
      <c r="DL52"/>
      <c r="DM52"/>
      <c r="DN52"/>
      <c r="DO52"/>
      <c r="DP52"/>
      <c r="DQ52" s="1">
        <f t="shared" si="17"/>
        <v>0</v>
      </c>
      <c r="DR52" s="1">
        <f t="shared" si="18"/>
        <v>0</v>
      </c>
      <c r="DS52" s="1">
        <f t="shared" si="19"/>
        <v>0</v>
      </c>
      <c r="DT52" s="1">
        <f t="shared" si="20"/>
        <v>0</v>
      </c>
      <c r="DU52" s="1">
        <f t="shared" si="21"/>
        <v>0</v>
      </c>
      <c r="DV52" s="1">
        <f t="shared" si="22"/>
        <v>0</v>
      </c>
      <c r="DW52" s="1">
        <f t="shared" si="23"/>
        <v>0</v>
      </c>
      <c r="DX52" s="1">
        <f t="shared" si="24"/>
        <v>0</v>
      </c>
      <c r="DY52" s="1" t="str">
        <f t="array" ref="DY52">_xlfn.LET(
_xlpm.a,LOWER(TRIM(DQ52&amp;"")),
_xlpm.b,LOWER(TRIM(DR52&amp;"")),
_xlpm.x,_xlfn.IFS(_xlpm.a="0",0,_xlpm.a="none",0,_xlpm.a="moderate",1,_xlpm.a="strong",2),
_xlpm.y,_xlfn.IFS(_xlpm.b="0",0,_xlpm.b="none",0,_xlpm.b="moderate",1,_xlpm.b="strong",2),
_xlpm.d,ABS(_xlpm.x-_xlpm.y),
IF(_xlpm.d=0,"green",IF(_xlpm.d=1,"orange",IF(_xlpm.d=2,"red","check")))
)</f>
        <v>green</v>
      </c>
      <c r="DZ52" s="1" t="str">
        <f t="array" ref="DZ52">_xlfn.LET(
_xlpm.a,LOWER(TRIM(DS52&amp;"")),
_xlpm.b,LOWER(TRIM(DT52&amp;"")),
_xlpm.x,_xlfn.IFS(_xlpm.a="0",0,_xlpm.a="none",0,_xlpm.a="moderate",1,_xlpm.a="strong",2),
_xlpm.y,_xlfn.IFS(_xlpm.b="0",0,_xlpm.b="none",0,_xlpm.b="moderate",1,_xlpm.b="strong",2),
_xlpm.d,ABS(_xlpm.x-_xlpm.y),
IF(_xlpm.d=0,"green",IF(_xlpm.d=1,"orange",IF(_xlpm.d=2,"red","check")))
)</f>
        <v>green</v>
      </c>
      <c r="EA52" s="1" t="str">
        <f t="array" ref="EA52">_xlfn.LET(
_xlpm.a,LOWER(TRIM(DU52&amp;"")),
_xlpm.b,LOWER(TRIM(DV52&amp;"")),
_xlpm.x,_xlfn.IFS(_xlpm.a="0",0,_xlpm.a="none",0,_xlpm.a="moderate",1,_xlpm.a="strong",2),
_xlpm.y,_xlfn.IFS(_xlpm.b="0",0,_xlpm.b="none",0,_xlpm.b="moderate",1,_xlpm.b="strong",2),
_xlpm.d,ABS(_xlpm.x-_xlpm.y),
IF(_xlpm.d=0,"green",IF(_xlpm.d=1,"orange",IF(_xlpm.d=2,"red","check")))
)</f>
        <v>green</v>
      </c>
      <c r="EB52" s="1" t="str">
        <f t="array" ref="EB52">_xlfn.LET(
_xlpm.a,LOWER(TRIM(DW52&amp;"")),
_xlpm.b,LOWER(TRIM(DX52&amp;"")),
_xlpm.x,_xlfn.IFS(_xlpm.a="0",0,_xlpm.a="none",0,_xlpm.a="moderate",1,_xlpm.a="strong",2),
_xlpm.y,_xlfn.IFS(_xlpm.b="0",0,_xlpm.b="none",0,_xlpm.b="moderate",1,_xlpm.b="strong",2),
_xlpm.d,ABS(_xlpm.x-_xlpm.y),
IF(_xlpm.d=0,"green",IF(_xlpm.d=1,"orange",IF(_xlpm.d=2,"red","check")))
)</f>
        <v>green</v>
      </c>
      <c r="EC52"/>
      <c r="ED52"/>
      <c r="EE52"/>
      <c r="EF52"/>
      <c r="EG52"/>
      <c r="EH52"/>
      <c r="EI52"/>
      <c r="EJ52"/>
      <c r="EK52"/>
      <c r="EL52"/>
      <c r="EM52"/>
      <c r="EN52"/>
      <c r="EO52"/>
      <c r="EP52"/>
      <c r="EQ52"/>
      <c r="ER52"/>
      <c r="ES52" s="58" t="str">
        <f t="shared" si="8"/>
        <v/>
      </c>
      <c r="ET52" s="58" t="str">
        <f t="shared" si="9"/>
        <v>No</v>
      </c>
      <c r="EU52" s="59" t="str">
        <f t="shared" si="15"/>
        <v>Uninformative</v>
      </c>
      <c r="EV52" s="59" t="str">
        <f t="shared" si="16"/>
        <v>Uninformative</v>
      </c>
      <c r="EW52" s="59" t="str">
        <f t="shared" si="10"/>
        <v>Uninformative</v>
      </c>
      <c r="EX52" s="58" t="str">
        <f t="shared" si="11"/>
        <v>Uninformative</v>
      </c>
      <c r="EY52" s="58" t="str">
        <f t="shared" si="12"/>
        <v>Uninformative</v>
      </c>
      <c r="EZ52" s="58" t="str">
        <f t="shared" si="13"/>
        <v>Uninformative</v>
      </c>
      <c r="FA52" s="58" t="str">
        <f t="shared" si="14"/>
        <v>No</v>
      </c>
    </row>
    <row r="53" spans="1:157" ht="20" customHeight="1">
      <c r="A53" s="32"/>
      <c r="B53" s="32"/>
      <c r="C53" s="32"/>
      <c r="D53" s="32"/>
      <c r="E53" s="32"/>
      <c r="F53" s="32"/>
      <c r="G53" s="32"/>
      <c r="H53" s="32"/>
      <c r="I53" s="32"/>
      <c r="J53" s="32"/>
      <c r="K53" s="32"/>
      <c r="L53" s="32"/>
      <c r="M53" s="32"/>
      <c r="N53" s="32"/>
      <c r="O53" s="32"/>
      <c r="P53" s="32"/>
      <c r="Q53" s="32"/>
      <c r="R53" s="32"/>
      <c r="S53" s="32"/>
      <c r="T53" s="32"/>
      <c r="U53" s="32"/>
      <c r="V53" s="32"/>
      <c r="W53" s="32"/>
      <c r="X53"/>
      <c r="Y53"/>
      <c r="Z53"/>
      <c r="AA53"/>
      <c r="AB53"/>
      <c r="AC53"/>
      <c r="AD53"/>
      <c r="AE53"/>
      <c r="AG53"/>
      <c r="AH53"/>
      <c r="AI53"/>
      <c r="AJ53"/>
      <c r="AK53"/>
      <c r="AL53"/>
      <c r="AM53"/>
      <c r="AN53"/>
      <c r="AO53"/>
      <c r="AP53"/>
      <c r="AQ53"/>
      <c r="AR53"/>
      <c r="AS53"/>
      <c r="AT53"/>
      <c r="AU53"/>
      <c r="AV53"/>
      <c r="AW53"/>
      <c r="AX53"/>
      <c r="AY53"/>
      <c r="AZ53"/>
      <c r="BU53"/>
      <c r="BV53"/>
      <c r="BW53"/>
      <c r="BX53"/>
      <c r="BY53"/>
      <c r="BZ53"/>
      <c r="CB53"/>
      <c r="CC53"/>
      <c r="CD53"/>
      <c r="CF53"/>
      <c r="CG53"/>
      <c r="CH53"/>
      <c r="CJ53"/>
      <c r="CK53"/>
      <c r="CQ53"/>
      <c r="CR53"/>
      <c r="CS53"/>
      <c r="CT53"/>
      <c r="CU53"/>
      <c r="CV53"/>
      <c r="CW53"/>
      <c r="CX53"/>
      <c r="CY53"/>
      <c r="CZ53"/>
      <c r="DA53"/>
      <c r="DB53"/>
      <c r="DC53"/>
      <c r="DD53"/>
      <c r="DE53"/>
      <c r="DF53"/>
      <c r="DG53"/>
      <c r="DH53"/>
      <c r="DI53"/>
      <c r="DJ53"/>
      <c r="DK53"/>
      <c r="DL53"/>
      <c r="DM53"/>
      <c r="DN53"/>
      <c r="DO53"/>
      <c r="DP53"/>
      <c r="DQ53" s="1">
        <f t="shared" si="17"/>
        <v>0</v>
      </c>
      <c r="DR53" s="1">
        <f t="shared" si="18"/>
        <v>0</v>
      </c>
      <c r="DS53" s="1">
        <f t="shared" si="19"/>
        <v>0</v>
      </c>
      <c r="DT53" s="1">
        <f t="shared" si="20"/>
        <v>0</v>
      </c>
      <c r="DU53" s="1">
        <f t="shared" si="21"/>
        <v>0</v>
      </c>
      <c r="DV53" s="1">
        <f t="shared" si="22"/>
        <v>0</v>
      </c>
      <c r="DW53" s="1">
        <f t="shared" si="23"/>
        <v>0</v>
      </c>
      <c r="DX53" s="1">
        <f t="shared" si="24"/>
        <v>0</v>
      </c>
      <c r="DY53" s="1" t="str">
        <f t="array" ref="DY53">_xlfn.LET(
_xlpm.a,LOWER(TRIM(DQ53&amp;"")),
_xlpm.b,LOWER(TRIM(DR53&amp;"")),
_xlpm.x,_xlfn.IFS(_xlpm.a="0",0,_xlpm.a="none",0,_xlpm.a="moderate",1,_xlpm.a="strong",2),
_xlpm.y,_xlfn.IFS(_xlpm.b="0",0,_xlpm.b="none",0,_xlpm.b="moderate",1,_xlpm.b="strong",2),
_xlpm.d,ABS(_xlpm.x-_xlpm.y),
IF(_xlpm.d=0,"green",IF(_xlpm.d=1,"orange",IF(_xlpm.d=2,"red","check")))
)</f>
        <v>green</v>
      </c>
      <c r="DZ53" s="1" t="str">
        <f t="array" ref="DZ53">_xlfn.LET(
_xlpm.a,LOWER(TRIM(DS53&amp;"")),
_xlpm.b,LOWER(TRIM(DT53&amp;"")),
_xlpm.x,_xlfn.IFS(_xlpm.a="0",0,_xlpm.a="none",0,_xlpm.a="moderate",1,_xlpm.a="strong",2),
_xlpm.y,_xlfn.IFS(_xlpm.b="0",0,_xlpm.b="none",0,_xlpm.b="moderate",1,_xlpm.b="strong",2),
_xlpm.d,ABS(_xlpm.x-_xlpm.y),
IF(_xlpm.d=0,"green",IF(_xlpm.d=1,"orange",IF(_xlpm.d=2,"red","check")))
)</f>
        <v>green</v>
      </c>
      <c r="EA53" s="1" t="str">
        <f t="array" ref="EA53">_xlfn.LET(
_xlpm.a,LOWER(TRIM(DU53&amp;"")),
_xlpm.b,LOWER(TRIM(DV53&amp;"")),
_xlpm.x,_xlfn.IFS(_xlpm.a="0",0,_xlpm.a="none",0,_xlpm.a="moderate",1,_xlpm.a="strong",2),
_xlpm.y,_xlfn.IFS(_xlpm.b="0",0,_xlpm.b="none",0,_xlpm.b="moderate",1,_xlpm.b="strong",2),
_xlpm.d,ABS(_xlpm.x-_xlpm.y),
IF(_xlpm.d=0,"green",IF(_xlpm.d=1,"orange",IF(_xlpm.d=2,"red","check")))
)</f>
        <v>green</v>
      </c>
      <c r="EB53" s="1" t="str">
        <f t="array" ref="EB53">_xlfn.LET(
_xlpm.a,LOWER(TRIM(DW53&amp;"")),
_xlpm.b,LOWER(TRIM(DX53&amp;"")),
_xlpm.x,_xlfn.IFS(_xlpm.a="0",0,_xlpm.a="none",0,_xlpm.a="moderate",1,_xlpm.a="strong",2),
_xlpm.y,_xlfn.IFS(_xlpm.b="0",0,_xlpm.b="none",0,_xlpm.b="moderate",1,_xlpm.b="strong",2),
_xlpm.d,ABS(_xlpm.x-_xlpm.y),
IF(_xlpm.d=0,"green",IF(_xlpm.d=1,"orange",IF(_xlpm.d=2,"red","check")))
)</f>
        <v>green</v>
      </c>
      <c r="EC53"/>
      <c r="ED53"/>
      <c r="EE53"/>
      <c r="EF53"/>
      <c r="EG53"/>
      <c r="EH53"/>
      <c r="EI53"/>
      <c r="EJ53"/>
      <c r="EK53"/>
      <c r="EL53"/>
      <c r="EM53"/>
      <c r="EN53"/>
      <c r="EO53"/>
      <c r="EP53"/>
      <c r="EQ53"/>
      <c r="ER53"/>
      <c r="ES53" s="58" t="str">
        <f t="shared" si="8"/>
        <v/>
      </c>
      <c r="ET53" s="58" t="str">
        <f t="shared" si="9"/>
        <v>No</v>
      </c>
      <c r="EU53" s="59" t="str">
        <f t="shared" si="15"/>
        <v>Uninformative</v>
      </c>
      <c r="EV53" s="59" t="str">
        <f t="shared" si="16"/>
        <v>Uninformative</v>
      </c>
      <c r="EW53" s="59" t="str">
        <f t="shared" si="10"/>
        <v>Uninformative</v>
      </c>
      <c r="EX53" s="58" t="str">
        <f t="shared" si="11"/>
        <v>Uninformative</v>
      </c>
      <c r="EY53" s="58" t="str">
        <f t="shared" si="12"/>
        <v>Uninformative</v>
      </c>
      <c r="EZ53" s="58" t="str">
        <f t="shared" si="13"/>
        <v>Uninformative</v>
      </c>
      <c r="FA53" s="58" t="str">
        <f t="shared" si="14"/>
        <v>No</v>
      </c>
    </row>
    <row r="54" spans="1:157" ht="20" customHeight="1">
      <c r="A54" s="32"/>
      <c r="B54" s="32"/>
      <c r="C54" s="32"/>
      <c r="D54" s="32"/>
      <c r="E54" s="32"/>
      <c r="F54" s="32"/>
      <c r="G54" s="32"/>
      <c r="H54" s="32"/>
      <c r="I54" s="32"/>
      <c r="J54" s="32"/>
      <c r="K54" s="32"/>
      <c r="L54" s="32"/>
      <c r="M54" s="32"/>
      <c r="N54" s="32"/>
      <c r="O54" s="32"/>
      <c r="P54" s="32"/>
      <c r="Q54" s="32"/>
      <c r="R54" s="32"/>
      <c r="S54" s="32"/>
      <c r="T54" s="32"/>
      <c r="U54" s="32"/>
      <c r="V54" s="32"/>
      <c r="W54" s="32"/>
      <c r="X54"/>
      <c r="Y54"/>
      <c r="Z54"/>
      <c r="AA54"/>
      <c r="AB54"/>
      <c r="AC54"/>
      <c r="AD54"/>
      <c r="AE54"/>
      <c r="AG54"/>
      <c r="AH54"/>
      <c r="AI54"/>
      <c r="AJ54"/>
      <c r="AK54"/>
      <c r="AL54"/>
      <c r="AM54"/>
      <c r="AN54"/>
      <c r="AO54"/>
      <c r="AP54"/>
      <c r="AQ54"/>
      <c r="AR54"/>
      <c r="AS54"/>
      <c r="AT54"/>
      <c r="AU54"/>
      <c r="AV54"/>
      <c r="AW54"/>
      <c r="AX54"/>
      <c r="AY54"/>
      <c r="AZ54"/>
      <c r="BA54"/>
      <c r="BB54"/>
      <c r="BC54"/>
      <c r="BD54"/>
      <c r="BE54"/>
      <c r="BF54"/>
      <c r="BG54"/>
      <c r="BH54"/>
      <c r="BI54"/>
      <c r="BJ54"/>
      <c r="BK54"/>
      <c r="BL54"/>
      <c r="BQ54"/>
      <c r="BR54"/>
      <c r="BS54"/>
      <c r="BT54"/>
      <c r="BU54"/>
      <c r="BV54"/>
      <c r="BW54"/>
      <c r="BX54"/>
      <c r="BY54"/>
      <c r="BZ54"/>
      <c r="CB54"/>
      <c r="CC54"/>
      <c r="CD54"/>
      <c r="CF54"/>
      <c r="CG54"/>
      <c r="CH54"/>
      <c r="CJ54"/>
      <c r="CK54"/>
      <c r="CL54"/>
      <c r="CM54"/>
      <c r="CN54"/>
      <c r="CP54"/>
      <c r="CQ54"/>
      <c r="CR54"/>
      <c r="CS54"/>
      <c r="CT54"/>
      <c r="CU54"/>
      <c r="CV54"/>
      <c r="CW54"/>
      <c r="CX54"/>
      <c r="CY54"/>
      <c r="CZ54"/>
      <c r="DA54"/>
      <c r="DB54"/>
      <c r="DC54"/>
      <c r="DD54"/>
      <c r="DE54"/>
      <c r="DF54"/>
      <c r="DG54"/>
      <c r="DH54"/>
      <c r="DI54"/>
      <c r="DJ54"/>
      <c r="DK54"/>
      <c r="DL54"/>
      <c r="DM54"/>
      <c r="DN54"/>
      <c r="DO54"/>
      <c r="DP54"/>
      <c r="DQ54" s="1">
        <f t="shared" si="17"/>
        <v>0</v>
      </c>
      <c r="DR54" s="1">
        <f t="shared" si="18"/>
        <v>0</v>
      </c>
      <c r="DS54" s="1">
        <f t="shared" si="19"/>
        <v>0</v>
      </c>
      <c r="DT54" s="1">
        <f t="shared" si="20"/>
        <v>0</v>
      </c>
      <c r="DU54" s="1">
        <f t="shared" si="21"/>
        <v>0</v>
      </c>
      <c r="DV54" s="1">
        <f t="shared" si="22"/>
        <v>0</v>
      </c>
      <c r="DW54" s="1">
        <f t="shared" si="23"/>
        <v>0</v>
      </c>
      <c r="DX54" s="1">
        <f t="shared" si="24"/>
        <v>0</v>
      </c>
      <c r="DY54" s="1" t="str">
        <f t="array" ref="DY54">_xlfn.LET(
_xlpm.a,LOWER(TRIM(DQ54&amp;"")),
_xlpm.b,LOWER(TRIM(DR54&amp;"")),
_xlpm.x,_xlfn.IFS(_xlpm.a="0",0,_xlpm.a="none",0,_xlpm.a="moderate",1,_xlpm.a="strong",2),
_xlpm.y,_xlfn.IFS(_xlpm.b="0",0,_xlpm.b="none",0,_xlpm.b="moderate",1,_xlpm.b="strong",2),
_xlpm.d,ABS(_xlpm.x-_xlpm.y),
IF(_xlpm.d=0,"green",IF(_xlpm.d=1,"orange",IF(_xlpm.d=2,"red","check")))
)</f>
        <v>green</v>
      </c>
      <c r="DZ54" s="1" t="str">
        <f t="array" ref="DZ54">_xlfn.LET(
_xlpm.a,LOWER(TRIM(DS54&amp;"")),
_xlpm.b,LOWER(TRIM(DT54&amp;"")),
_xlpm.x,_xlfn.IFS(_xlpm.a="0",0,_xlpm.a="none",0,_xlpm.a="moderate",1,_xlpm.a="strong",2),
_xlpm.y,_xlfn.IFS(_xlpm.b="0",0,_xlpm.b="none",0,_xlpm.b="moderate",1,_xlpm.b="strong",2),
_xlpm.d,ABS(_xlpm.x-_xlpm.y),
IF(_xlpm.d=0,"green",IF(_xlpm.d=1,"orange",IF(_xlpm.d=2,"red","check")))
)</f>
        <v>green</v>
      </c>
      <c r="EA54" s="1" t="str">
        <f t="array" ref="EA54">_xlfn.LET(
_xlpm.a,LOWER(TRIM(DU54&amp;"")),
_xlpm.b,LOWER(TRIM(DV54&amp;"")),
_xlpm.x,_xlfn.IFS(_xlpm.a="0",0,_xlpm.a="none",0,_xlpm.a="moderate",1,_xlpm.a="strong",2),
_xlpm.y,_xlfn.IFS(_xlpm.b="0",0,_xlpm.b="none",0,_xlpm.b="moderate",1,_xlpm.b="strong",2),
_xlpm.d,ABS(_xlpm.x-_xlpm.y),
IF(_xlpm.d=0,"green",IF(_xlpm.d=1,"orange",IF(_xlpm.d=2,"red","check")))
)</f>
        <v>green</v>
      </c>
      <c r="EB54" s="1" t="str">
        <f t="array" ref="EB54">_xlfn.LET(
_xlpm.a,LOWER(TRIM(DW54&amp;"")),
_xlpm.b,LOWER(TRIM(DX54&amp;"")),
_xlpm.x,_xlfn.IFS(_xlpm.a="0",0,_xlpm.a="none",0,_xlpm.a="moderate",1,_xlpm.a="strong",2),
_xlpm.y,_xlfn.IFS(_xlpm.b="0",0,_xlpm.b="none",0,_xlpm.b="moderate",1,_xlpm.b="strong",2),
_xlpm.d,ABS(_xlpm.x-_xlpm.y),
IF(_xlpm.d=0,"green",IF(_xlpm.d=1,"orange",IF(_xlpm.d=2,"red","check")))
)</f>
        <v>green</v>
      </c>
      <c r="EC54"/>
      <c r="ED54"/>
      <c r="EE54"/>
      <c r="EF54"/>
      <c r="EG54"/>
      <c r="EH54"/>
      <c r="EI54"/>
      <c r="EJ54"/>
      <c r="EK54"/>
      <c r="EL54"/>
      <c r="EM54"/>
      <c r="EN54"/>
      <c r="EO54"/>
      <c r="EP54"/>
      <c r="EQ54"/>
      <c r="ER54"/>
      <c r="ES54" s="58" t="str">
        <f t="shared" si="8"/>
        <v/>
      </c>
      <c r="ET54" s="58" t="str">
        <f t="shared" si="9"/>
        <v>No</v>
      </c>
      <c r="EU54" s="59" t="str">
        <f t="shared" si="15"/>
        <v>Uninformative</v>
      </c>
      <c r="EV54" s="59" t="str">
        <f t="shared" si="16"/>
        <v>Uninformative</v>
      </c>
      <c r="EW54" s="59" t="str">
        <f t="shared" si="10"/>
        <v>Uninformative</v>
      </c>
      <c r="EX54" s="58" t="str">
        <f t="shared" si="11"/>
        <v>Uninformative</v>
      </c>
      <c r="EY54" s="58" t="str">
        <f t="shared" si="12"/>
        <v>Uninformative</v>
      </c>
      <c r="EZ54" s="58" t="str">
        <f t="shared" si="13"/>
        <v>Uninformative</v>
      </c>
      <c r="FA54" s="58" t="str">
        <f t="shared" si="14"/>
        <v>No</v>
      </c>
    </row>
    <row r="55" spans="1:157" ht="20" customHeight="1">
      <c r="A55" s="32"/>
      <c r="B55" s="32"/>
      <c r="C55" s="32"/>
      <c r="D55" s="32"/>
      <c r="E55" s="32"/>
      <c r="F55" s="32"/>
      <c r="G55" s="32"/>
      <c r="H55" s="32"/>
      <c r="I55" s="32"/>
      <c r="J55" s="32"/>
      <c r="K55" s="32"/>
      <c r="L55" s="32"/>
      <c r="M55" s="32"/>
      <c r="N55" s="32"/>
      <c r="O55" s="32"/>
      <c r="P55" s="32"/>
      <c r="Q55" s="32"/>
      <c r="R55" s="32"/>
      <c r="S55" s="32"/>
      <c r="T55" s="32"/>
      <c r="U55" s="32"/>
      <c r="V55" s="32"/>
      <c r="W55" s="32"/>
      <c r="X55"/>
      <c r="Y55"/>
      <c r="Z55"/>
      <c r="AA55"/>
      <c r="AB55"/>
      <c r="AC55"/>
      <c r="AD55"/>
      <c r="AE55"/>
      <c r="AG55"/>
      <c r="AH55"/>
      <c r="AI55"/>
      <c r="AJ55"/>
      <c r="AK55"/>
      <c r="AL55"/>
      <c r="CZ55"/>
      <c r="DA55"/>
      <c r="DB55"/>
      <c r="DC55"/>
      <c r="DD55"/>
      <c r="DE55"/>
      <c r="DF55"/>
      <c r="DG55"/>
      <c r="DH55"/>
      <c r="DI55"/>
      <c r="DJ55"/>
      <c r="DK55"/>
      <c r="DL55"/>
      <c r="DM55"/>
      <c r="DN55"/>
      <c r="DO55"/>
      <c r="DP55"/>
      <c r="DQ55" s="1">
        <f t="shared" si="17"/>
        <v>0</v>
      </c>
      <c r="DR55" s="1">
        <f t="shared" si="18"/>
        <v>0</v>
      </c>
      <c r="DS55" s="1">
        <f t="shared" si="19"/>
        <v>0</v>
      </c>
      <c r="DT55" s="1">
        <f t="shared" si="20"/>
        <v>0</v>
      </c>
      <c r="DU55" s="1">
        <f t="shared" si="21"/>
        <v>0</v>
      </c>
      <c r="DV55" s="1">
        <f t="shared" si="22"/>
        <v>0</v>
      </c>
      <c r="DW55" s="1">
        <f t="shared" si="23"/>
        <v>0</v>
      </c>
      <c r="DX55" s="1">
        <f t="shared" si="24"/>
        <v>0</v>
      </c>
      <c r="DY55" s="1" t="str">
        <f t="array" ref="DY55">_xlfn.LET(
_xlpm.a,LOWER(TRIM(DQ55&amp;"")),
_xlpm.b,LOWER(TRIM(DR55&amp;"")),
_xlpm.x,_xlfn.IFS(_xlpm.a="0",0,_xlpm.a="none",0,_xlpm.a="moderate",1,_xlpm.a="strong",2),
_xlpm.y,_xlfn.IFS(_xlpm.b="0",0,_xlpm.b="none",0,_xlpm.b="moderate",1,_xlpm.b="strong",2),
_xlpm.d,ABS(_xlpm.x-_xlpm.y),
IF(_xlpm.d=0,"green",IF(_xlpm.d=1,"orange",IF(_xlpm.d=2,"red","check")))
)</f>
        <v>green</v>
      </c>
      <c r="DZ55" s="1" t="str">
        <f t="array" ref="DZ55">_xlfn.LET(
_xlpm.a,LOWER(TRIM(DS55&amp;"")),
_xlpm.b,LOWER(TRIM(DT55&amp;"")),
_xlpm.x,_xlfn.IFS(_xlpm.a="0",0,_xlpm.a="none",0,_xlpm.a="moderate",1,_xlpm.a="strong",2),
_xlpm.y,_xlfn.IFS(_xlpm.b="0",0,_xlpm.b="none",0,_xlpm.b="moderate",1,_xlpm.b="strong",2),
_xlpm.d,ABS(_xlpm.x-_xlpm.y),
IF(_xlpm.d=0,"green",IF(_xlpm.d=1,"orange",IF(_xlpm.d=2,"red","check")))
)</f>
        <v>green</v>
      </c>
      <c r="EA55" s="1" t="str">
        <f t="array" ref="EA55">_xlfn.LET(
_xlpm.a,LOWER(TRIM(DU55&amp;"")),
_xlpm.b,LOWER(TRIM(DV55&amp;"")),
_xlpm.x,_xlfn.IFS(_xlpm.a="0",0,_xlpm.a="none",0,_xlpm.a="moderate",1,_xlpm.a="strong",2),
_xlpm.y,_xlfn.IFS(_xlpm.b="0",0,_xlpm.b="none",0,_xlpm.b="moderate",1,_xlpm.b="strong",2),
_xlpm.d,ABS(_xlpm.x-_xlpm.y),
IF(_xlpm.d=0,"green",IF(_xlpm.d=1,"orange",IF(_xlpm.d=2,"red","check")))
)</f>
        <v>green</v>
      </c>
      <c r="EB55" s="1" t="str">
        <f t="array" ref="EB55">_xlfn.LET(
_xlpm.a,LOWER(TRIM(DW55&amp;"")),
_xlpm.b,LOWER(TRIM(DX55&amp;"")),
_xlpm.x,_xlfn.IFS(_xlpm.a="0",0,_xlpm.a="none",0,_xlpm.a="moderate",1,_xlpm.a="strong",2),
_xlpm.y,_xlfn.IFS(_xlpm.b="0",0,_xlpm.b="none",0,_xlpm.b="moderate",1,_xlpm.b="strong",2),
_xlpm.d,ABS(_xlpm.x-_xlpm.y),
IF(_xlpm.d=0,"green",IF(_xlpm.d=1,"orange",IF(_xlpm.d=2,"red","check")))
)</f>
        <v>green</v>
      </c>
      <c r="EC55"/>
      <c r="ED55"/>
      <c r="EE55"/>
      <c r="EF55"/>
      <c r="EG55"/>
      <c r="EH55"/>
      <c r="EI55"/>
      <c r="EJ55"/>
      <c r="EK55"/>
      <c r="EL55"/>
      <c r="EM55"/>
      <c r="EN55"/>
      <c r="EO55"/>
      <c r="EP55"/>
      <c r="EQ55"/>
      <c r="ER55"/>
      <c r="ES55" s="58" t="str">
        <f t="shared" si="8"/>
        <v/>
      </c>
      <c r="ET55" s="58" t="str">
        <f t="shared" si="9"/>
        <v>No</v>
      </c>
      <c r="EU55" s="59" t="str">
        <f t="shared" si="15"/>
        <v>Uninformative</v>
      </c>
      <c r="EV55" s="59" t="str">
        <f t="shared" si="16"/>
        <v>Uninformative</v>
      </c>
      <c r="EW55" s="59" t="str">
        <f t="shared" si="10"/>
        <v>Uninformative</v>
      </c>
      <c r="EX55" s="58" t="str">
        <f t="shared" si="11"/>
        <v>Uninformative</v>
      </c>
      <c r="EY55" s="58" t="str">
        <f t="shared" si="12"/>
        <v>Uninformative</v>
      </c>
      <c r="EZ55" s="58" t="str">
        <f t="shared" si="13"/>
        <v>Uninformative</v>
      </c>
      <c r="FA55" s="58" t="str">
        <f t="shared" si="14"/>
        <v>No</v>
      </c>
    </row>
    <row r="56" spans="1:157" ht="20" customHeight="1">
      <c r="A56" s="32"/>
      <c r="B56" s="32"/>
      <c r="C56" s="32"/>
      <c r="D56" s="32"/>
      <c r="E56" s="32"/>
      <c r="F56" s="32"/>
      <c r="G56" s="32"/>
      <c r="H56" s="32"/>
      <c r="I56" s="32"/>
      <c r="J56" s="32"/>
      <c r="K56" s="32"/>
      <c r="L56" s="32"/>
      <c r="M56" s="32"/>
      <c r="N56" s="32"/>
      <c r="O56" s="32"/>
      <c r="P56" s="32"/>
      <c r="Q56" s="32"/>
      <c r="R56" s="32"/>
      <c r="S56" s="32"/>
      <c r="T56" s="32"/>
      <c r="U56" s="32"/>
      <c r="V56" s="32"/>
      <c r="W56" s="32"/>
      <c r="X56"/>
      <c r="Y56"/>
      <c r="Z56"/>
      <c r="AA56"/>
      <c r="AB56"/>
      <c r="AC56"/>
      <c r="AD56"/>
      <c r="AE56"/>
      <c r="AG56"/>
      <c r="AH56"/>
      <c r="AI56"/>
      <c r="AJ56"/>
      <c r="AK56"/>
      <c r="AL56"/>
      <c r="AM56"/>
      <c r="AN56"/>
      <c r="AO56"/>
      <c r="AP56"/>
      <c r="AQ56"/>
      <c r="AR56"/>
      <c r="AS56"/>
      <c r="AT56"/>
      <c r="AU56"/>
      <c r="AV56"/>
      <c r="AW56"/>
      <c r="AX56"/>
      <c r="AY56"/>
      <c r="AZ56"/>
      <c r="BA56"/>
      <c r="BB56"/>
      <c r="BC56"/>
      <c r="BD56"/>
      <c r="BE56"/>
      <c r="BF56"/>
      <c r="BG56"/>
      <c r="BH56"/>
      <c r="BI56"/>
      <c r="BJ56"/>
      <c r="BK56"/>
      <c r="BL56"/>
      <c r="BQ56"/>
      <c r="BR56"/>
      <c r="BS56"/>
      <c r="BT56"/>
      <c r="BU56"/>
      <c r="BV56"/>
      <c r="BW56"/>
      <c r="BX56"/>
      <c r="BY56"/>
      <c r="BZ56"/>
      <c r="CB56"/>
      <c r="CC56"/>
      <c r="CD56"/>
      <c r="CF56"/>
      <c r="CG56"/>
      <c r="CH56"/>
      <c r="CJ56"/>
      <c r="CK56"/>
      <c r="CL56"/>
      <c r="CM56"/>
      <c r="CN56"/>
      <c r="CP56"/>
      <c r="CQ56"/>
      <c r="CR56"/>
      <c r="CS56"/>
      <c r="CT56"/>
      <c r="CU56"/>
      <c r="CV56"/>
      <c r="CW56"/>
      <c r="CX56"/>
      <c r="CY56"/>
      <c r="CZ56"/>
      <c r="DA56"/>
      <c r="DB56"/>
      <c r="DC56"/>
      <c r="DD56"/>
      <c r="DE56"/>
      <c r="DF56"/>
      <c r="DG56"/>
      <c r="DH56"/>
      <c r="DI56"/>
      <c r="DJ56"/>
      <c r="DK56"/>
      <c r="DL56"/>
      <c r="DM56"/>
      <c r="DN56"/>
      <c r="DO56"/>
      <c r="DP56"/>
      <c r="DQ56" s="1">
        <f t="shared" si="17"/>
        <v>0</v>
      </c>
      <c r="DR56" s="1">
        <f t="shared" si="18"/>
        <v>0</v>
      </c>
      <c r="DS56" s="1">
        <f t="shared" si="19"/>
        <v>0</v>
      </c>
      <c r="DT56" s="1">
        <f t="shared" si="20"/>
        <v>0</v>
      </c>
      <c r="DU56" s="1">
        <f t="shared" si="21"/>
        <v>0</v>
      </c>
      <c r="DV56" s="1">
        <f t="shared" si="22"/>
        <v>0</v>
      </c>
      <c r="DW56" s="1">
        <f t="shared" si="23"/>
        <v>0</v>
      </c>
      <c r="DX56" s="1">
        <f t="shared" si="24"/>
        <v>0</v>
      </c>
      <c r="DY56" s="1" t="str">
        <f t="array" ref="DY56">_xlfn.LET(
_xlpm.a,LOWER(TRIM(DQ56&amp;"")),
_xlpm.b,LOWER(TRIM(DR56&amp;"")),
_xlpm.x,_xlfn.IFS(_xlpm.a="0",0,_xlpm.a="none",0,_xlpm.a="moderate",1,_xlpm.a="strong",2),
_xlpm.y,_xlfn.IFS(_xlpm.b="0",0,_xlpm.b="none",0,_xlpm.b="moderate",1,_xlpm.b="strong",2),
_xlpm.d,ABS(_xlpm.x-_xlpm.y),
IF(_xlpm.d=0,"green",IF(_xlpm.d=1,"orange",IF(_xlpm.d=2,"red","check")))
)</f>
        <v>green</v>
      </c>
      <c r="DZ56" s="1" t="str">
        <f t="array" ref="DZ56">_xlfn.LET(
_xlpm.a,LOWER(TRIM(DS56&amp;"")),
_xlpm.b,LOWER(TRIM(DT56&amp;"")),
_xlpm.x,_xlfn.IFS(_xlpm.a="0",0,_xlpm.a="none",0,_xlpm.a="moderate",1,_xlpm.a="strong",2),
_xlpm.y,_xlfn.IFS(_xlpm.b="0",0,_xlpm.b="none",0,_xlpm.b="moderate",1,_xlpm.b="strong",2),
_xlpm.d,ABS(_xlpm.x-_xlpm.y),
IF(_xlpm.d=0,"green",IF(_xlpm.d=1,"orange",IF(_xlpm.d=2,"red","check")))
)</f>
        <v>green</v>
      </c>
      <c r="EA56" s="1" t="str">
        <f t="array" ref="EA56">_xlfn.LET(
_xlpm.a,LOWER(TRIM(DU56&amp;"")),
_xlpm.b,LOWER(TRIM(DV56&amp;"")),
_xlpm.x,_xlfn.IFS(_xlpm.a="0",0,_xlpm.a="none",0,_xlpm.a="moderate",1,_xlpm.a="strong",2),
_xlpm.y,_xlfn.IFS(_xlpm.b="0",0,_xlpm.b="none",0,_xlpm.b="moderate",1,_xlpm.b="strong",2),
_xlpm.d,ABS(_xlpm.x-_xlpm.y),
IF(_xlpm.d=0,"green",IF(_xlpm.d=1,"orange",IF(_xlpm.d=2,"red","check")))
)</f>
        <v>green</v>
      </c>
      <c r="EB56" s="1" t="str">
        <f t="array" ref="EB56">_xlfn.LET(
_xlpm.a,LOWER(TRIM(DW56&amp;"")),
_xlpm.b,LOWER(TRIM(DX56&amp;"")),
_xlpm.x,_xlfn.IFS(_xlpm.a="0",0,_xlpm.a="none",0,_xlpm.a="moderate",1,_xlpm.a="strong",2),
_xlpm.y,_xlfn.IFS(_xlpm.b="0",0,_xlpm.b="none",0,_xlpm.b="moderate",1,_xlpm.b="strong",2),
_xlpm.d,ABS(_xlpm.x-_xlpm.y),
IF(_xlpm.d=0,"green",IF(_xlpm.d=1,"orange",IF(_xlpm.d=2,"red","check")))
)</f>
        <v>green</v>
      </c>
      <c r="EC56"/>
      <c r="ED56"/>
      <c r="EE56"/>
      <c r="EF56"/>
      <c r="EG56"/>
      <c r="EH56"/>
      <c r="EI56"/>
      <c r="EJ56"/>
      <c r="EK56"/>
      <c r="EL56"/>
      <c r="EM56"/>
      <c r="EN56"/>
      <c r="EO56"/>
      <c r="EP56"/>
      <c r="EQ56"/>
      <c r="ER56"/>
      <c r="ES56" s="58" t="str">
        <f t="shared" si="8"/>
        <v/>
      </c>
      <c r="ET56" s="58" t="str">
        <f t="shared" si="9"/>
        <v>No</v>
      </c>
      <c r="EU56" s="59" t="str">
        <f t="shared" si="15"/>
        <v>Uninformative</v>
      </c>
      <c r="EV56" s="59" t="str">
        <f t="shared" si="16"/>
        <v>Uninformative</v>
      </c>
      <c r="EW56" s="59" t="str">
        <f t="shared" si="10"/>
        <v>Uninformative</v>
      </c>
      <c r="EX56" s="58" t="str">
        <f t="shared" si="11"/>
        <v>Uninformative</v>
      </c>
      <c r="EY56" s="58" t="str">
        <f t="shared" si="12"/>
        <v>Uninformative</v>
      </c>
      <c r="EZ56" s="58" t="str">
        <f t="shared" si="13"/>
        <v>Uninformative</v>
      </c>
      <c r="FA56" s="58" t="str">
        <f t="shared" si="14"/>
        <v>No</v>
      </c>
    </row>
    <row r="57" spans="1:157" ht="20" customHeight="1">
      <c r="A57" s="32"/>
      <c r="B57" s="32"/>
      <c r="C57" s="32"/>
      <c r="D57" s="32"/>
      <c r="E57" s="32"/>
      <c r="F57" s="32"/>
      <c r="G57" s="32"/>
      <c r="H57" s="32"/>
      <c r="I57" s="32"/>
      <c r="J57" s="32"/>
      <c r="K57" s="32"/>
      <c r="L57" s="32"/>
      <c r="M57" s="32"/>
      <c r="N57" s="32"/>
      <c r="O57" s="32"/>
      <c r="P57" s="32"/>
      <c r="Q57" s="32"/>
      <c r="R57" s="32"/>
      <c r="S57" s="32"/>
      <c r="T57" s="32"/>
      <c r="U57" s="32"/>
      <c r="V57" s="32"/>
      <c r="W57" s="32"/>
      <c r="X57"/>
      <c r="Y57"/>
      <c r="Z57"/>
      <c r="AA57"/>
      <c r="AB57"/>
      <c r="AC57"/>
      <c r="AD57"/>
      <c r="AE57"/>
      <c r="AG57"/>
      <c r="AH57"/>
      <c r="AI57"/>
      <c r="AJ57"/>
      <c r="AK57"/>
      <c r="AL57"/>
      <c r="AM57"/>
      <c r="AN57"/>
      <c r="AO57"/>
      <c r="AP57"/>
      <c r="AQ57"/>
      <c r="AR57"/>
      <c r="AS57"/>
      <c r="AT57"/>
      <c r="AU57"/>
      <c r="AV57"/>
      <c r="AW57"/>
      <c r="AX57"/>
      <c r="AY57"/>
      <c r="AZ57"/>
      <c r="BA57"/>
      <c r="BB57"/>
      <c r="BC57"/>
      <c r="BD57"/>
      <c r="BE57"/>
      <c r="BF57"/>
      <c r="BG57"/>
      <c r="BH57"/>
      <c r="BI57"/>
      <c r="BJ57"/>
      <c r="BK57"/>
      <c r="BL57"/>
      <c r="BQ57"/>
      <c r="BR57"/>
      <c r="BS57"/>
      <c r="BT57"/>
      <c r="BU57"/>
      <c r="BV57"/>
      <c r="BW57"/>
      <c r="BX57"/>
      <c r="BY57"/>
      <c r="BZ57"/>
      <c r="CB57"/>
      <c r="CC57"/>
      <c r="CD57"/>
      <c r="CF57"/>
      <c r="CG57"/>
      <c r="CH57"/>
      <c r="CJ57"/>
      <c r="CK57"/>
      <c r="CL57"/>
      <c r="CM57"/>
      <c r="CN57"/>
      <c r="CP57"/>
      <c r="CQ57"/>
      <c r="CR57"/>
      <c r="CS57"/>
      <c r="CT57"/>
      <c r="CU57"/>
      <c r="CV57"/>
      <c r="CW57"/>
      <c r="CX57"/>
      <c r="CY57"/>
      <c r="CZ57"/>
      <c r="DA57"/>
      <c r="DB57"/>
      <c r="DC57"/>
      <c r="DD57"/>
      <c r="DE57"/>
      <c r="DF57"/>
      <c r="DG57"/>
      <c r="DH57"/>
      <c r="DI57"/>
      <c r="DJ57"/>
      <c r="DK57"/>
      <c r="DL57"/>
      <c r="DM57"/>
      <c r="DN57"/>
      <c r="DO57"/>
      <c r="DP57"/>
      <c r="DQ57" s="1">
        <f t="shared" si="17"/>
        <v>0</v>
      </c>
      <c r="DR57" s="1">
        <f t="shared" si="18"/>
        <v>0</v>
      </c>
      <c r="DS57" s="1">
        <f t="shared" si="19"/>
        <v>0</v>
      </c>
      <c r="DT57" s="1">
        <f t="shared" si="20"/>
        <v>0</v>
      </c>
      <c r="DU57" s="1">
        <f t="shared" si="21"/>
        <v>0</v>
      </c>
      <c r="DV57" s="1">
        <f t="shared" si="22"/>
        <v>0</v>
      </c>
      <c r="DW57" s="1">
        <f t="shared" si="23"/>
        <v>0</v>
      </c>
      <c r="DX57" s="1">
        <f t="shared" si="24"/>
        <v>0</v>
      </c>
      <c r="DY57" s="1" t="str">
        <f t="array" ref="DY57">_xlfn.LET(
_xlpm.a,LOWER(TRIM(DQ57&amp;"")),
_xlpm.b,LOWER(TRIM(DR57&amp;"")),
_xlpm.x,_xlfn.IFS(_xlpm.a="0",0,_xlpm.a="none",0,_xlpm.a="moderate",1,_xlpm.a="strong",2),
_xlpm.y,_xlfn.IFS(_xlpm.b="0",0,_xlpm.b="none",0,_xlpm.b="moderate",1,_xlpm.b="strong",2),
_xlpm.d,ABS(_xlpm.x-_xlpm.y),
IF(_xlpm.d=0,"green",IF(_xlpm.d=1,"orange",IF(_xlpm.d=2,"red","check")))
)</f>
        <v>green</v>
      </c>
      <c r="DZ57" s="1" t="str">
        <f t="array" ref="DZ57">_xlfn.LET(
_xlpm.a,LOWER(TRIM(DS57&amp;"")),
_xlpm.b,LOWER(TRIM(DT57&amp;"")),
_xlpm.x,_xlfn.IFS(_xlpm.a="0",0,_xlpm.a="none",0,_xlpm.a="moderate",1,_xlpm.a="strong",2),
_xlpm.y,_xlfn.IFS(_xlpm.b="0",0,_xlpm.b="none",0,_xlpm.b="moderate",1,_xlpm.b="strong",2),
_xlpm.d,ABS(_xlpm.x-_xlpm.y),
IF(_xlpm.d=0,"green",IF(_xlpm.d=1,"orange",IF(_xlpm.d=2,"red","check")))
)</f>
        <v>green</v>
      </c>
      <c r="EA57" s="1" t="str">
        <f t="array" ref="EA57">_xlfn.LET(
_xlpm.a,LOWER(TRIM(DU57&amp;"")),
_xlpm.b,LOWER(TRIM(DV57&amp;"")),
_xlpm.x,_xlfn.IFS(_xlpm.a="0",0,_xlpm.a="none",0,_xlpm.a="moderate",1,_xlpm.a="strong",2),
_xlpm.y,_xlfn.IFS(_xlpm.b="0",0,_xlpm.b="none",0,_xlpm.b="moderate",1,_xlpm.b="strong",2),
_xlpm.d,ABS(_xlpm.x-_xlpm.y),
IF(_xlpm.d=0,"green",IF(_xlpm.d=1,"orange",IF(_xlpm.d=2,"red","check")))
)</f>
        <v>green</v>
      </c>
      <c r="EB57" s="1" t="str">
        <f t="array" ref="EB57">_xlfn.LET(
_xlpm.a,LOWER(TRIM(DW57&amp;"")),
_xlpm.b,LOWER(TRIM(DX57&amp;"")),
_xlpm.x,_xlfn.IFS(_xlpm.a="0",0,_xlpm.a="none",0,_xlpm.a="moderate",1,_xlpm.a="strong",2),
_xlpm.y,_xlfn.IFS(_xlpm.b="0",0,_xlpm.b="none",0,_xlpm.b="moderate",1,_xlpm.b="strong",2),
_xlpm.d,ABS(_xlpm.x-_xlpm.y),
IF(_xlpm.d=0,"green",IF(_xlpm.d=1,"orange",IF(_xlpm.d=2,"red","check")))
)</f>
        <v>green</v>
      </c>
      <c r="EC57"/>
      <c r="ED57"/>
      <c r="EE57"/>
      <c r="EF57"/>
      <c r="EG57"/>
      <c r="EH57"/>
      <c r="EI57"/>
      <c r="EJ57"/>
      <c r="EK57"/>
      <c r="EL57"/>
      <c r="EM57"/>
      <c r="EN57"/>
      <c r="EO57"/>
      <c r="EP57"/>
      <c r="EQ57"/>
      <c r="ER57"/>
      <c r="ES57" s="58" t="str">
        <f t="shared" si="8"/>
        <v/>
      </c>
      <c r="ET57" s="58" t="str">
        <f t="shared" si="9"/>
        <v>No</v>
      </c>
      <c r="EU57" s="59" t="str">
        <f t="shared" si="15"/>
        <v>Uninformative</v>
      </c>
      <c r="EV57" s="59" t="str">
        <f t="shared" si="16"/>
        <v>Uninformative</v>
      </c>
      <c r="EW57" s="59" t="str">
        <f t="shared" si="10"/>
        <v>Uninformative</v>
      </c>
      <c r="EX57" s="58" t="str">
        <f t="shared" si="11"/>
        <v>Uninformative</v>
      </c>
      <c r="EY57" s="58" t="str">
        <f t="shared" si="12"/>
        <v>Uninformative</v>
      </c>
      <c r="EZ57" s="58" t="str">
        <f t="shared" si="13"/>
        <v>Uninformative</v>
      </c>
      <c r="FA57" s="58" t="str">
        <f t="shared" si="14"/>
        <v>No</v>
      </c>
    </row>
    <row r="58" spans="1:157" ht="20" customHeight="1">
      <c r="A58" s="32"/>
      <c r="B58" s="32"/>
      <c r="C58" s="32"/>
      <c r="D58" s="32"/>
      <c r="E58" s="32"/>
      <c r="F58" s="32"/>
      <c r="G58" s="32"/>
      <c r="H58" s="32"/>
      <c r="I58" s="32"/>
      <c r="J58" s="32"/>
      <c r="K58" s="32"/>
      <c r="L58" s="32"/>
      <c r="M58" s="32"/>
      <c r="N58" s="32"/>
      <c r="O58" s="32"/>
      <c r="P58" s="32"/>
      <c r="Q58" s="32"/>
      <c r="R58" s="32"/>
      <c r="S58" s="32"/>
      <c r="T58" s="32"/>
      <c r="U58" s="32"/>
      <c r="V58" s="32"/>
      <c r="W58" s="32"/>
      <c r="X58"/>
      <c r="Y58"/>
      <c r="Z58"/>
      <c r="AA58"/>
      <c r="AB58"/>
      <c r="AC58"/>
      <c r="AD58"/>
      <c r="AE58"/>
      <c r="AG58"/>
      <c r="AH58"/>
      <c r="AI58"/>
      <c r="AJ58"/>
      <c r="AK58"/>
      <c r="AL58"/>
      <c r="AM58"/>
      <c r="AN58"/>
      <c r="AO58"/>
      <c r="AP58"/>
      <c r="AQ58"/>
      <c r="AR58"/>
      <c r="AS58"/>
      <c r="AT58"/>
      <c r="AU58"/>
      <c r="AV58"/>
      <c r="AW58"/>
      <c r="AX58"/>
      <c r="AY58"/>
      <c r="AZ58"/>
      <c r="BU58"/>
      <c r="BV58"/>
      <c r="BW58"/>
      <c r="BX58"/>
      <c r="BY58"/>
      <c r="BZ58"/>
      <c r="CB58"/>
      <c r="CC58"/>
      <c r="CD58"/>
      <c r="CF58"/>
      <c r="CG58"/>
      <c r="CH58"/>
      <c r="CJ58"/>
      <c r="CK58"/>
      <c r="CQ58"/>
      <c r="CR58"/>
      <c r="CS58"/>
      <c r="CT58"/>
      <c r="CU58"/>
      <c r="CV58"/>
      <c r="CW58"/>
      <c r="CX58"/>
      <c r="CY58"/>
      <c r="CZ58"/>
      <c r="DA58"/>
      <c r="DB58"/>
      <c r="DC58"/>
      <c r="DD58"/>
      <c r="DE58"/>
      <c r="DF58"/>
      <c r="DG58"/>
      <c r="DH58"/>
      <c r="DI58"/>
      <c r="DJ58"/>
      <c r="DK58"/>
      <c r="DL58"/>
      <c r="DM58"/>
      <c r="DN58"/>
      <c r="DO58"/>
      <c r="DP58"/>
      <c r="DQ58" s="1">
        <f t="shared" si="17"/>
        <v>0</v>
      </c>
      <c r="DR58" s="1">
        <f t="shared" si="18"/>
        <v>0</v>
      </c>
      <c r="DS58" s="1">
        <f t="shared" si="19"/>
        <v>0</v>
      </c>
      <c r="DT58" s="1">
        <f t="shared" si="20"/>
        <v>0</v>
      </c>
      <c r="DU58" s="1">
        <f t="shared" si="21"/>
        <v>0</v>
      </c>
      <c r="DV58" s="1">
        <f t="shared" si="22"/>
        <v>0</v>
      </c>
      <c r="DW58" s="1">
        <f t="shared" si="23"/>
        <v>0</v>
      </c>
      <c r="DX58" s="1">
        <f t="shared" si="24"/>
        <v>0</v>
      </c>
      <c r="DY58" s="1" t="str">
        <f t="array" ref="DY58">_xlfn.LET(
_xlpm.a,LOWER(TRIM(DQ58&amp;"")),
_xlpm.b,LOWER(TRIM(DR58&amp;"")),
_xlpm.x,_xlfn.IFS(_xlpm.a="0",0,_xlpm.a="none",0,_xlpm.a="moderate",1,_xlpm.a="strong",2),
_xlpm.y,_xlfn.IFS(_xlpm.b="0",0,_xlpm.b="none",0,_xlpm.b="moderate",1,_xlpm.b="strong",2),
_xlpm.d,ABS(_xlpm.x-_xlpm.y),
IF(_xlpm.d=0,"green",IF(_xlpm.d=1,"orange",IF(_xlpm.d=2,"red","check")))
)</f>
        <v>green</v>
      </c>
      <c r="DZ58" s="1" t="str">
        <f t="array" ref="DZ58">_xlfn.LET(
_xlpm.a,LOWER(TRIM(DS58&amp;"")),
_xlpm.b,LOWER(TRIM(DT58&amp;"")),
_xlpm.x,_xlfn.IFS(_xlpm.a="0",0,_xlpm.a="none",0,_xlpm.a="moderate",1,_xlpm.a="strong",2),
_xlpm.y,_xlfn.IFS(_xlpm.b="0",0,_xlpm.b="none",0,_xlpm.b="moderate",1,_xlpm.b="strong",2),
_xlpm.d,ABS(_xlpm.x-_xlpm.y),
IF(_xlpm.d=0,"green",IF(_xlpm.d=1,"orange",IF(_xlpm.d=2,"red","check")))
)</f>
        <v>green</v>
      </c>
      <c r="EA58" s="1" t="str">
        <f t="array" ref="EA58">_xlfn.LET(
_xlpm.a,LOWER(TRIM(DU58&amp;"")),
_xlpm.b,LOWER(TRIM(DV58&amp;"")),
_xlpm.x,_xlfn.IFS(_xlpm.a="0",0,_xlpm.a="none",0,_xlpm.a="moderate",1,_xlpm.a="strong",2),
_xlpm.y,_xlfn.IFS(_xlpm.b="0",0,_xlpm.b="none",0,_xlpm.b="moderate",1,_xlpm.b="strong",2),
_xlpm.d,ABS(_xlpm.x-_xlpm.y),
IF(_xlpm.d=0,"green",IF(_xlpm.d=1,"orange",IF(_xlpm.d=2,"red","check")))
)</f>
        <v>green</v>
      </c>
      <c r="EB58" s="1" t="str">
        <f t="array" ref="EB58">_xlfn.LET(
_xlpm.a,LOWER(TRIM(DW58&amp;"")),
_xlpm.b,LOWER(TRIM(DX58&amp;"")),
_xlpm.x,_xlfn.IFS(_xlpm.a="0",0,_xlpm.a="none",0,_xlpm.a="moderate",1,_xlpm.a="strong",2),
_xlpm.y,_xlfn.IFS(_xlpm.b="0",0,_xlpm.b="none",0,_xlpm.b="moderate",1,_xlpm.b="strong",2),
_xlpm.d,ABS(_xlpm.x-_xlpm.y),
IF(_xlpm.d=0,"green",IF(_xlpm.d=1,"orange",IF(_xlpm.d=2,"red","check")))
)</f>
        <v>green</v>
      </c>
      <c r="EC58"/>
      <c r="ED58"/>
      <c r="EE58"/>
      <c r="EF58"/>
      <c r="EG58"/>
      <c r="EH58"/>
      <c r="EI58"/>
      <c r="EJ58"/>
      <c r="EK58"/>
      <c r="EL58"/>
      <c r="EM58"/>
      <c r="EN58"/>
      <c r="EO58"/>
      <c r="EP58"/>
      <c r="EQ58"/>
      <c r="ER58"/>
      <c r="ES58" s="58" t="str">
        <f t="shared" si="8"/>
        <v/>
      </c>
      <c r="ET58" s="58" t="str">
        <f t="shared" si="9"/>
        <v>No</v>
      </c>
      <c r="EU58" s="59" t="str">
        <f t="shared" si="15"/>
        <v>Uninformative</v>
      </c>
      <c r="EV58" s="59" t="str">
        <f t="shared" si="16"/>
        <v>Uninformative</v>
      </c>
      <c r="EW58" s="59" t="str">
        <f t="shared" si="10"/>
        <v>Uninformative</v>
      </c>
      <c r="EX58" s="58" t="str">
        <f t="shared" si="11"/>
        <v>Uninformative</v>
      </c>
      <c r="EY58" s="58" t="str">
        <f t="shared" si="12"/>
        <v>Uninformative</v>
      </c>
      <c r="EZ58" s="58" t="str">
        <f t="shared" si="13"/>
        <v>Uninformative</v>
      </c>
      <c r="FA58" s="58" t="str">
        <f t="shared" si="14"/>
        <v>No</v>
      </c>
    </row>
    <row r="59" spans="1:157" ht="20" customHeight="1">
      <c r="A59" s="32"/>
      <c r="B59" s="32"/>
      <c r="C59" s="32"/>
      <c r="D59" s="32"/>
      <c r="E59" s="32"/>
      <c r="F59" s="32"/>
      <c r="G59" s="32"/>
      <c r="H59" s="32"/>
      <c r="I59" s="32"/>
      <c r="J59" s="32"/>
      <c r="K59" s="32"/>
      <c r="L59" s="32"/>
      <c r="M59" s="32"/>
      <c r="N59" s="32"/>
      <c r="O59" s="32"/>
      <c r="P59" s="32"/>
      <c r="Q59" s="32"/>
      <c r="R59" s="32"/>
      <c r="S59" s="32"/>
      <c r="T59" s="32"/>
      <c r="U59" s="32"/>
      <c r="V59" s="32"/>
      <c r="W59" s="32"/>
      <c r="X59"/>
      <c r="Y59"/>
      <c r="Z59"/>
      <c r="AA59"/>
      <c r="AB59"/>
      <c r="AC59"/>
      <c r="AD59"/>
      <c r="AE59"/>
      <c r="AG59"/>
      <c r="AH59"/>
      <c r="AI59"/>
      <c r="AJ59"/>
      <c r="AK59"/>
      <c r="AL59"/>
      <c r="AM59"/>
      <c r="AN59"/>
      <c r="AO59"/>
      <c r="AP59"/>
      <c r="AQ59"/>
      <c r="AR59"/>
      <c r="AS59"/>
      <c r="AT59"/>
      <c r="AU59"/>
      <c r="AV59"/>
      <c r="AW59"/>
      <c r="AX59"/>
      <c r="AY59"/>
      <c r="AZ59"/>
      <c r="BA59"/>
      <c r="BB59"/>
      <c r="BC59"/>
      <c r="BD59"/>
      <c r="BE59"/>
      <c r="BF59"/>
      <c r="BG59"/>
      <c r="BH59"/>
      <c r="BI59"/>
      <c r="BJ59"/>
      <c r="BK59"/>
      <c r="BL59"/>
      <c r="BQ59"/>
      <c r="BR59"/>
      <c r="BS59"/>
      <c r="BT59"/>
      <c r="BU59"/>
      <c r="BV59"/>
      <c r="BW59"/>
      <c r="BX59"/>
      <c r="BY59"/>
      <c r="BZ59"/>
      <c r="CB59"/>
      <c r="CC59"/>
      <c r="CD59"/>
      <c r="CF59"/>
      <c r="CG59"/>
      <c r="CH59"/>
      <c r="CJ59"/>
      <c r="CK59"/>
      <c r="CL59"/>
      <c r="CM59"/>
      <c r="CN59"/>
      <c r="CP59"/>
      <c r="CQ59"/>
      <c r="CR59"/>
      <c r="CS59"/>
      <c r="CT59"/>
      <c r="CU59"/>
      <c r="CV59"/>
      <c r="CW59"/>
      <c r="CX59"/>
      <c r="CY59"/>
      <c r="CZ59"/>
      <c r="DA59"/>
      <c r="DB59"/>
      <c r="DC59"/>
      <c r="DD59"/>
      <c r="DE59"/>
      <c r="DF59"/>
      <c r="DG59"/>
      <c r="DH59"/>
      <c r="DI59"/>
      <c r="DJ59"/>
      <c r="DK59"/>
      <c r="DL59"/>
      <c r="DM59"/>
      <c r="DN59"/>
      <c r="DO59"/>
      <c r="DP59"/>
      <c r="DQ59" s="1">
        <f t="shared" si="17"/>
        <v>0</v>
      </c>
      <c r="DR59" s="1">
        <f t="shared" si="18"/>
        <v>0</v>
      </c>
      <c r="DS59" s="1">
        <f t="shared" si="19"/>
        <v>0</v>
      </c>
      <c r="DT59" s="1">
        <f t="shared" si="20"/>
        <v>0</v>
      </c>
      <c r="DU59" s="1">
        <f t="shared" si="21"/>
        <v>0</v>
      </c>
      <c r="DV59" s="1">
        <f t="shared" si="22"/>
        <v>0</v>
      </c>
      <c r="DW59" s="1">
        <f t="shared" si="23"/>
        <v>0</v>
      </c>
      <c r="DX59" s="1">
        <f t="shared" si="24"/>
        <v>0</v>
      </c>
      <c r="DY59" s="1" t="str">
        <f t="array" ref="DY59">_xlfn.LET(
_xlpm.a,LOWER(TRIM(DQ59&amp;"")),
_xlpm.b,LOWER(TRIM(DR59&amp;"")),
_xlpm.x,_xlfn.IFS(_xlpm.a="0",0,_xlpm.a="none",0,_xlpm.a="moderate",1,_xlpm.a="strong",2),
_xlpm.y,_xlfn.IFS(_xlpm.b="0",0,_xlpm.b="none",0,_xlpm.b="moderate",1,_xlpm.b="strong",2),
_xlpm.d,ABS(_xlpm.x-_xlpm.y),
IF(_xlpm.d=0,"green",IF(_xlpm.d=1,"orange",IF(_xlpm.d=2,"red","check")))
)</f>
        <v>green</v>
      </c>
      <c r="DZ59" s="1" t="str">
        <f t="array" ref="DZ59">_xlfn.LET(
_xlpm.a,LOWER(TRIM(DS59&amp;"")),
_xlpm.b,LOWER(TRIM(DT59&amp;"")),
_xlpm.x,_xlfn.IFS(_xlpm.a="0",0,_xlpm.a="none",0,_xlpm.a="moderate",1,_xlpm.a="strong",2),
_xlpm.y,_xlfn.IFS(_xlpm.b="0",0,_xlpm.b="none",0,_xlpm.b="moderate",1,_xlpm.b="strong",2),
_xlpm.d,ABS(_xlpm.x-_xlpm.y),
IF(_xlpm.d=0,"green",IF(_xlpm.d=1,"orange",IF(_xlpm.d=2,"red","check")))
)</f>
        <v>green</v>
      </c>
      <c r="EA59" s="1" t="str">
        <f t="array" ref="EA59">_xlfn.LET(
_xlpm.a,LOWER(TRIM(DU59&amp;"")),
_xlpm.b,LOWER(TRIM(DV59&amp;"")),
_xlpm.x,_xlfn.IFS(_xlpm.a="0",0,_xlpm.a="none",0,_xlpm.a="moderate",1,_xlpm.a="strong",2),
_xlpm.y,_xlfn.IFS(_xlpm.b="0",0,_xlpm.b="none",0,_xlpm.b="moderate",1,_xlpm.b="strong",2),
_xlpm.d,ABS(_xlpm.x-_xlpm.y),
IF(_xlpm.d=0,"green",IF(_xlpm.d=1,"orange",IF(_xlpm.d=2,"red","check")))
)</f>
        <v>green</v>
      </c>
      <c r="EB59" s="1" t="str">
        <f t="array" ref="EB59">_xlfn.LET(
_xlpm.a,LOWER(TRIM(DW59&amp;"")),
_xlpm.b,LOWER(TRIM(DX59&amp;"")),
_xlpm.x,_xlfn.IFS(_xlpm.a="0",0,_xlpm.a="none",0,_xlpm.a="moderate",1,_xlpm.a="strong",2),
_xlpm.y,_xlfn.IFS(_xlpm.b="0",0,_xlpm.b="none",0,_xlpm.b="moderate",1,_xlpm.b="strong",2),
_xlpm.d,ABS(_xlpm.x-_xlpm.y),
IF(_xlpm.d=0,"green",IF(_xlpm.d=1,"orange",IF(_xlpm.d=2,"red","check")))
)</f>
        <v>green</v>
      </c>
      <c r="EC59"/>
      <c r="ED59"/>
      <c r="EE59"/>
      <c r="EF59"/>
      <c r="EG59"/>
      <c r="EH59"/>
      <c r="EI59"/>
      <c r="EJ59"/>
      <c r="EK59"/>
      <c r="EL59"/>
      <c r="EM59"/>
      <c r="EN59"/>
      <c r="EO59"/>
      <c r="EP59"/>
      <c r="EQ59"/>
      <c r="ER59"/>
      <c r="ES59" s="58" t="str">
        <f t="shared" si="8"/>
        <v/>
      </c>
      <c r="ET59" s="58" t="str">
        <f t="shared" si="9"/>
        <v>No</v>
      </c>
      <c r="EU59" s="59" t="str">
        <f t="shared" si="15"/>
        <v>Uninformative</v>
      </c>
      <c r="EV59" s="59" t="str">
        <f t="shared" si="16"/>
        <v>Uninformative</v>
      </c>
      <c r="EW59" s="59" t="str">
        <f t="shared" si="10"/>
        <v>Uninformative</v>
      </c>
      <c r="EX59" s="58" t="str">
        <f t="shared" si="11"/>
        <v>Uninformative</v>
      </c>
      <c r="EY59" s="58" t="str">
        <f t="shared" si="12"/>
        <v>Uninformative</v>
      </c>
      <c r="EZ59" s="58" t="str">
        <f t="shared" si="13"/>
        <v>Uninformative</v>
      </c>
      <c r="FA59" s="58" t="str">
        <f t="shared" si="14"/>
        <v>No</v>
      </c>
    </row>
    <row r="60" spans="1:157" ht="20" customHeight="1">
      <c r="A60" s="32"/>
      <c r="B60" s="32"/>
      <c r="C60" s="32"/>
      <c r="D60" s="32"/>
      <c r="E60" s="32"/>
      <c r="F60" s="32"/>
      <c r="G60" s="32"/>
      <c r="H60" s="32"/>
      <c r="I60" s="32"/>
      <c r="J60" s="32"/>
      <c r="K60" s="32"/>
      <c r="L60" s="32"/>
      <c r="M60" s="32"/>
      <c r="N60" s="32"/>
      <c r="O60" s="32"/>
      <c r="P60" s="32"/>
      <c r="Q60" s="32"/>
      <c r="R60" s="32"/>
      <c r="S60" s="32"/>
      <c r="T60" s="32"/>
      <c r="U60" s="32"/>
      <c r="V60" s="32"/>
      <c r="W60" s="32"/>
      <c r="X60"/>
      <c r="Y60"/>
      <c r="Z60"/>
      <c r="AA60"/>
      <c r="AB60"/>
      <c r="AC60"/>
      <c r="AD60"/>
      <c r="AE60"/>
      <c r="AG60"/>
      <c r="AH60"/>
      <c r="AI60"/>
      <c r="AJ60"/>
      <c r="AK60"/>
      <c r="AL60"/>
      <c r="CZ60"/>
      <c r="DA60"/>
      <c r="DB60" s="16"/>
      <c r="DC60"/>
      <c r="DD60"/>
      <c r="DE60"/>
      <c r="DF60"/>
      <c r="DG60"/>
      <c r="DH60"/>
      <c r="DI60"/>
      <c r="DJ60"/>
      <c r="DK60"/>
      <c r="DL60"/>
      <c r="DM60"/>
      <c r="DN60"/>
      <c r="DO60"/>
      <c r="DP60"/>
      <c r="DQ60" s="1">
        <f t="shared" si="17"/>
        <v>0</v>
      </c>
      <c r="DR60" s="1">
        <f t="shared" si="18"/>
        <v>0</v>
      </c>
      <c r="DS60" s="1">
        <f t="shared" si="19"/>
        <v>0</v>
      </c>
      <c r="DT60" s="1">
        <f t="shared" si="20"/>
        <v>0</v>
      </c>
      <c r="DU60" s="1">
        <f t="shared" si="21"/>
        <v>0</v>
      </c>
      <c r="DV60" s="1">
        <f t="shared" si="22"/>
        <v>0</v>
      </c>
      <c r="DW60" s="1">
        <f t="shared" si="23"/>
        <v>0</v>
      </c>
      <c r="DX60" s="1">
        <f t="shared" si="24"/>
        <v>0</v>
      </c>
      <c r="DY60" s="1" t="str">
        <f t="array" ref="DY60">_xlfn.LET(
_xlpm.a,LOWER(TRIM(DQ60&amp;"")),
_xlpm.b,LOWER(TRIM(DR60&amp;"")),
_xlpm.x,_xlfn.IFS(_xlpm.a="0",0,_xlpm.a="none",0,_xlpm.a="moderate",1,_xlpm.a="strong",2),
_xlpm.y,_xlfn.IFS(_xlpm.b="0",0,_xlpm.b="none",0,_xlpm.b="moderate",1,_xlpm.b="strong",2),
_xlpm.d,ABS(_xlpm.x-_xlpm.y),
IF(_xlpm.d=0,"green",IF(_xlpm.d=1,"orange",IF(_xlpm.d=2,"red","check")))
)</f>
        <v>green</v>
      </c>
      <c r="DZ60" s="1" t="str">
        <f t="array" ref="DZ60">_xlfn.LET(
_xlpm.a,LOWER(TRIM(DS60&amp;"")),
_xlpm.b,LOWER(TRIM(DT60&amp;"")),
_xlpm.x,_xlfn.IFS(_xlpm.a="0",0,_xlpm.a="none",0,_xlpm.a="moderate",1,_xlpm.a="strong",2),
_xlpm.y,_xlfn.IFS(_xlpm.b="0",0,_xlpm.b="none",0,_xlpm.b="moderate",1,_xlpm.b="strong",2),
_xlpm.d,ABS(_xlpm.x-_xlpm.y),
IF(_xlpm.d=0,"green",IF(_xlpm.d=1,"orange",IF(_xlpm.d=2,"red","check")))
)</f>
        <v>green</v>
      </c>
      <c r="EA60" s="1" t="str">
        <f t="array" ref="EA60">_xlfn.LET(
_xlpm.a,LOWER(TRIM(DU60&amp;"")),
_xlpm.b,LOWER(TRIM(DV60&amp;"")),
_xlpm.x,_xlfn.IFS(_xlpm.a="0",0,_xlpm.a="none",0,_xlpm.a="moderate",1,_xlpm.a="strong",2),
_xlpm.y,_xlfn.IFS(_xlpm.b="0",0,_xlpm.b="none",0,_xlpm.b="moderate",1,_xlpm.b="strong",2),
_xlpm.d,ABS(_xlpm.x-_xlpm.y),
IF(_xlpm.d=0,"green",IF(_xlpm.d=1,"orange",IF(_xlpm.d=2,"red","check")))
)</f>
        <v>green</v>
      </c>
      <c r="EB60" s="1" t="str">
        <f t="array" ref="EB60">_xlfn.LET(
_xlpm.a,LOWER(TRIM(DW60&amp;"")),
_xlpm.b,LOWER(TRIM(DX60&amp;"")),
_xlpm.x,_xlfn.IFS(_xlpm.a="0",0,_xlpm.a="none",0,_xlpm.a="moderate",1,_xlpm.a="strong",2),
_xlpm.y,_xlfn.IFS(_xlpm.b="0",0,_xlpm.b="none",0,_xlpm.b="moderate",1,_xlpm.b="strong",2),
_xlpm.d,ABS(_xlpm.x-_xlpm.y),
IF(_xlpm.d=0,"green",IF(_xlpm.d=1,"orange",IF(_xlpm.d=2,"red","check")))
)</f>
        <v>green</v>
      </c>
      <c r="EC60"/>
      <c r="ED60"/>
      <c r="EE60"/>
      <c r="EF60"/>
      <c r="EG60"/>
      <c r="EH60"/>
      <c r="EI60"/>
      <c r="EJ60"/>
      <c r="EK60"/>
      <c r="EL60"/>
      <c r="EM60"/>
      <c r="EN60"/>
      <c r="EO60"/>
      <c r="EP60"/>
      <c r="EQ60"/>
      <c r="ER60"/>
      <c r="ES60" s="58" t="str">
        <f t="shared" si="8"/>
        <v/>
      </c>
      <c r="ET60" s="58" t="str">
        <f t="shared" si="9"/>
        <v>No</v>
      </c>
      <c r="EU60" s="59" t="str">
        <f t="shared" si="15"/>
        <v>Uninformative</v>
      </c>
      <c r="EV60" s="59" t="str">
        <f t="shared" si="16"/>
        <v>Uninformative</v>
      </c>
      <c r="EW60" s="59" t="str">
        <f t="shared" si="10"/>
        <v>Uninformative</v>
      </c>
      <c r="EX60" s="58" t="str">
        <f t="shared" si="11"/>
        <v>Uninformative</v>
      </c>
      <c r="EY60" s="58" t="str">
        <f t="shared" si="12"/>
        <v>Uninformative</v>
      </c>
      <c r="EZ60" s="58" t="str">
        <f t="shared" si="13"/>
        <v>Uninformative</v>
      </c>
      <c r="FA60" s="58" t="str">
        <f t="shared" si="14"/>
        <v>No</v>
      </c>
    </row>
    <row r="61" spans="1:157" ht="20" customHeight="1">
      <c r="A61" s="32"/>
      <c r="B61" s="32"/>
      <c r="C61" s="32"/>
      <c r="D61" s="32"/>
      <c r="E61" s="32"/>
      <c r="F61" s="32"/>
      <c r="G61" s="32"/>
      <c r="H61" s="32"/>
      <c r="I61" s="32"/>
      <c r="J61" s="32"/>
      <c r="K61" s="32"/>
      <c r="L61" s="32"/>
      <c r="M61" s="32"/>
      <c r="N61" s="32"/>
      <c r="O61" s="32"/>
      <c r="P61" s="32"/>
      <c r="Q61" s="32"/>
      <c r="R61" s="32"/>
      <c r="S61" s="32"/>
      <c r="T61" s="32"/>
      <c r="U61" s="32"/>
      <c r="V61" s="32"/>
      <c r="W61" s="32"/>
      <c r="X61"/>
      <c r="AA61"/>
      <c r="AB61"/>
      <c r="AM61"/>
      <c r="AN61"/>
      <c r="AO61"/>
      <c r="AP61"/>
      <c r="AQ61"/>
      <c r="AR61"/>
      <c r="AS61"/>
      <c r="AT61"/>
      <c r="AU61"/>
      <c r="AV61"/>
      <c r="AW61"/>
      <c r="AX61"/>
      <c r="AY61"/>
      <c r="AZ61"/>
      <c r="BA61"/>
      <c r="BB61"/>
      <c r="BC61"/>
      <c r="BD61"/>
      <c r="BE61"/>
      <c r="BF61"/>
      <c r="BG61"/>
      <c r="BH61"/>
      <c r="BI61"/>
      <c r="BJ61"/>
      <c r="BK61"/>
      <c r="BL61"/>
      <c r="BQ61"/>
      <c r="BR61"/>
      <c r="BS61"/>
      <c r="BT61"/>
      <c r="BU61"/>
      <c r="BV61"/>
      <c r="BW61"/>
      <c r="BX61"/>
      <c r="BY61"/>
      <c r="BZ61"/>
      <c r="CB61"/>
      <c r="CC61"/>
      <c r="CD61"/>
      <c r="CF61"/>
      <c r="CG61"/>
      <c r="CH61"/>
      <c r="CJ61"/>
      <c r="CK61"/>
      <c r="CL61"/>
      <c r="CM61"/>
      <c r="CN61"/>
      <c r="CP61"/>
      <c r="CQ61"/>
      <c r="CR61"/>
      <c r="CS61" s="16"/>
      <c r="CT61"/>
      <c r="CU61"/>
      <c r="CV61"/>
      <c r="CW61"/>
      <c r="CX61"/>
      <c r="CY61"/>
      <c r="CZ61"/>
      <c r="DA61"/>
      <c r="DB61"/>
      <c r="DC61"/>
      <c r="DD61"/>
      <c r="DE61"/>
      <c r="DF61"/>
      <c r="DG61"/>
      <c r="DH61"/>
      <c r="DI61"/>
      <c r="DJ61"/>
      <c r="DK61"/>
      <c r="DL61"/>
      <c r="DM61"/>
      <c r="DN61"/>
      <c r="DO61"/>
      <c r="DP61"/>
      <c r="DQ61" s="1">
        <f t="shared" si="17"/>
        <v>0</v>
      </c>
      <c r="DR61" s="1">
        <f t="shared" si="18"/>
        <v>0</v>
      </c>
      <c r="DS61" s="1">
        <f t="shared" si="19"/>
        <v>0</v>
      </c>
      <c r="DT61" s="1">
        <f t="shared" si="20"/>
        <v>0</v>
      </c>
      <c r="DU61" s="1">
        <f t="shared" si="21"/>
        <v>0</v>
      </c>
      <c r="DV61" s="1">
        <f t="shared" si="22"/>
        <v>0</v>
      </c>
      <c r="DW61" s="1">
        <f t="shared" si="23"/>
        <v>0</v>
      </c>
      <c r="DX61" s="1">
        <f t="shared" si="24"/>
        <v>0</v>
      </c>
      <c r="DY61" s="1" t="str">
        <f t="array" ref="DY61">_xlfn.LET(
_xlpm.a,LOWER(TRIM(DQ61&amp;"")),
_xlpm.b,LOWER(TRIM(DR61&amp;"")),
_xlpm.x,_xlfn.IFS(_xlpm.a="0",0,_xlpm.a="none",0,_xlpm.a="moderate",1,_xlpm.a="strong",2),
_xlpm.y,_xlfn.IFS(_xlpm.b="0",0,_xlpm.b="none",0,_xlpm.b="moderate",1,_xlpm.b="strong",2),
_xlpm.d,ABS(_xlpm.x-_xlpm.y),
IF(_xlpm.d=0,"green",IF(_xlpm.d=1,"orange",IF(_xlpm.d=2,"red","check")))
)</f>
        <v>green</v>
      </c>
      <c r="DZ61" s="1" t="str">
        <f t="array" ref="DZ61">_xlfn.LET(
_xlpm.a,LOWER(TRIM(DS61&amp;"")),
_xlpm.b,LOWER(TRIM(DT61&amp;"")),
_xlpm.x,_xlfn.IFS(_xlpm.a="0",0,_xlpm.a="none",0,_xlpm.a="moderate",1,_xlpm.a="strong",2),
_xlpm.y,_xlfn.IFS(_xlpm.b="0",0,_xlpm.b="none",0,_xlpm.b="moderate",1,_xlpm.b="strong",2),
_xlpm.d,ABS(_xlpm.x-_xlpm.y),
IF(_xlpm.d=0,"green",IF(_xlpm.d=1,"orange",IF(_xlpm.d=2,"red","check")))
)</f>
        <v>green</v>
      </c>
      <c r="EA61" s="1" t="str">
        <f t="array" ref="EA61">_xlfn.LET(
_xlpm.a,LOWER(TRIM(DU61&amp;"")),
_xlpm.b,LOWER(TRIM(DV61&amp;"")),
_xlpm.x,_xlfn.IFS(_xlpm.a="0",0,_xlpm.a="none",0,_xlpm.a="moderate",1,_xlpm.a="strong",2),
_xlpm.y,_xlfn.IFS(_xlpm.b="0",0,_xlpm.b="none",0,_xlpm.b="moderate",1,_xlpm.b="strong",2),
_xlpm.d,ABS(_xlpm.x-_xlpm.y),
IF(_xlpm.d=0,"green",IF(_xlpm.d=1,"orange",IF(_xlpm.d=2,"red","check")))
)</f>
        <v>green</v>
      </c>
      <c r="EB61" s="1" t="str">
        <f t="array" ref="EB61">_xlfn.LET(
_xlpm.a,LOWER(TRIM(DW61&amp;"")),
_xlpm.b,LOWER(TRIM(DX61&amp;"")),
_xlpm.x,_xlfn.IFS(_xlpm.a="0",0,_xlpm.a="none",0,_xlpm.a="moderate",1,_xlpm.a="strong",2),
_xlpm.y,_xlfn.IFS(_xlpm.b="0",0,_xlpm.b="none",0,_xlpm.b="moderate",1,_xlpm.b="strong",2),
_xlpm.d,ABS(_xlpm.x-_xlpm.y),
IF(_xlpm.d=0,"green",IF(_xlpm.d=1,"orange",IF(_xlpm.d=2,"red","check")))
)</f>
        <v>green</v>
      </c>
      <c r="EC61"/>
      <c r="ED61"/>
      <c r="EE61"/>
      <c r="EF61"/>
      <c r="EG61"/>
      <c r="EH61"/>
      <c r="EI61"/>
      <c r="EJ61"/>
      <c r="EK61"/>
      <c r="EL61"/>
      <c r="EM61"/>
      <c r="EN61"/>
      <c r="EO61"/>
      <c r="EP61"/>
      <c r="EQ61"/>
      <c r="ER61"/>
      <c r="ES61" s="58" t="str">
        <f t="shared" si="8"/>
        <v/>
      </c>
      <c r="ET61" s="58" t="str">
        <f t="shared" si="9"/>
        <v>No</v>
      </c>
      <c r="EU61" s="59" t="str">
        <f t="shared" si="15"/>
        <v>Uninformative</v>
      </c>
      <c r="EV61" s="59" t="str">
        <f t="shared" si="16"/>
        <v>Uninformative</v>
      </c>
      <c r="EW61" s="59" t="str">
        <f t="shared" si="10"/>
        <v>Uninformative</v>
      </c>
      <c r="EX61" s="58" t="str">
        <f t="shared" si="11"/>
        <v>Uninformative</v>
      </c>
      <c r="EY61" s="58" t="str">
        <f t="shared" si="12"/>
        <v>Uninformative</v>
      </c>
      <c r="EZ61" s="58" t="str">
        <f t="shared" si="13"/>
        <v>Uninformative</v>
      </c>
      <c r="FA61" s="58" t="str">
        <f t="shared" si="14"/>
        <v>No</v>
      </c>
    </row>
    <row r="62" spans="1:157" ht="20" customHeight="1">
      <c r="A62" s="32"/>
      <c r="B62" s="32"/>
      <c r="C62" s="32"/>
      <c r="D62" s="32"/>
      <c r="E62" s="32"/>
      <c r="F62" s="32"/>
      <c r="G62" s="32"/>
      <c r="H62" s="32"/>
      <c r="I62" s="32"/>
      <c r="J62" s="32"/>
      <c r="K62" s="32"/>
      <c r="L62" s="32"/>
      <c r="M62" s="32"/>
      <c r="N62" s="32"/>
      <c r="O62" s="32"/>
      <c r="P62" s="32"/>
      <c r="Q62" s="32"/>
      <c r="R62" s="32"/>
      <c r="S62" s="32"/>
      <c r="T62" s="32"/>
      <c r="U62" s="32"/>
      <c r="V62" s="32"/>
      <c r="W62" s="32"/>
      <c r="X62"/>
      <c r="Y62"/>
      <c r="Z62"/>
      <c r="AA62"/>
      <c r="AB62"/>
      <c r="AC62"/>
      <c r="AD62"/>
      <c r="AE62"/>
      <c r="AG62"/>
      <c r="AH62"/>
      <c r="AI62"/>
      <c r="AJ62"/>
      <c r="AK62"/>
      <c r="AL62"/>
      <c r="AM62"/>
      <c r="AN62"/>
      <c r="AO62"/>
      <c r="AP62"/>
      <c r="AQ62"/>
      <c r="AR62"/>
      <c r="AS62"/>
      <c r="AT62"/>
      <c r="AU62"/>
      <c r="AV62"/>
      <c r="AW62"/>
      <c r="AX62"/>
      <c r="AY62"/>
      <c r="AZ62"/>
      <c r="BA62"/>
      <c r="BB62"/>
      <c r="BC62"/>
      <c r="BD62"/>
      <c r="BE62"/>
      <c r="BF62"/>
      <c r="BG62"/>
      <c r="BH62"/>
      <c r="BI62"/>
      <c r="BJ62"/>
      <c r="BK62"/>
      <c r="BL62"/>
      <c r="BQ62"/>
      <c r="BR62"/>
      <c r="BS62"/>
      <c r="BT62"/>
      <c r="BU62"/>
      <c r="BV62"/>
      <c r="BW62"/>
      <c r="BX62"/>
      <c r="BY62"/>
      <c r="BZ62"/>
      <c r="CB62"/>
      <c r="CC62"/>
      <c r="CD62"/>
      <c r="CF62"/>
      <c r="CG62"/>
      <c r="CH62"/>
      <c r="CJ62"/>
      <c r="CK62"/>
      <c r="CL62"/>
      <c r="CM62"/>
      <c r="CN62"/>
      <c r="CP62"/>
      <c r="CQ62"/>
      <c r="CR62"/>
      <c r="CS62"/>
      <c r="CT62"/>
      <c r="CU62"/>
      <c r="CV62"/>
      <c r="CW62"/>
      <c r="CX62"/>
      <c r="CY62"/>
      <c r="CZ62"/>
      <c r="DA62"/>
      <c r="DB62"/>
      <c r="DC62"/>
      <c r="DD62"/>
      <c r="DE62"/>
      <c r="DF62"/>
      <c r="DG62"/>
      <c r="DH62"/>
      <c r="DI62"/>
      <c r="DJ62"/>
      <c r="DK62"/>
      <c r="DL62"/>
      <c r="DM62"/>
      <c r="DN62"/>
      <c r="DO62"/>
      <c r="DP62"/>
      <c r="DQ62" s="1">
        <f t="shared" si="17"/>
        <v>0</v>
      </c>
      <c r="DR62" s="1">
        <f t="shared" si="18"/>
        <v>0</v>
      </c>
      <c r="DS62" s="1">
        <f t="shared" si="19"/>
        <v>0</v>
      </c>
      <c r="DT62" s="1">
        <f t="shared" si="20"/>
        <v>0</v>
      </c>
      <c r="DU62" s="1">
        <f t="shared" si="21"/>
        <v>0</v>
      </c>
      <c r="DV62" s="1">
        <f t="shared" si="22"/>
        <v>0</v>
      </c>
      <c r="DW62" s="1">
        <f t="shared" si="23"/>
        <v>0</v>
      </c>
      <c r="DX62" s="1">
        <f t="shared" si="24"/>
        <v>0</v>
      </c>
      <c r="DY62" s="1" t="str">
        <f t="array" ref="DY62">_xlfn.LET(
_xlpm.a,LOWER(TRIM(DQ62&amp;"")),
_xlpm.b,LOWER(TRIM(DR62&amp;"")),
_xlpm.x,_xlfn.IFS(_xlpm.a="0",0,_xlpm.a="none",0,_xlpm.a="moderate",1,_xlpm.a="strong",2),
_xlpm.y,_xlfn.IFS(_xlpm.b="0",0,_xlpm.b="none",0,_xlpm.b="moderate",1,_xlpm.b="strong",2),
_xlpm.d,ABS(_xlpm.x-_xlpm.y),
IF(_xlpm.d=0,"green",IF(_xlpm.d=1,"orange",IF(_xlpm.d=2,"red","check")))
)</f>
        <v>green</v>
      </c>
      <c r="DZ62" s="1" t="str">
        <f t="array" ref="DZ62">_xlfn.LET(
_xlpm.a,LOWER(TRIM(DS62&amp;"")),
_xlpm.b,LOWER(TRIM(DT62&amp;"")),
_xlpm.x,_xlfn.IFS(_xlpm.a="0",0,_xlpm.a="none",0,_xlpm.a="moderate",1,_xlpm.a="strong",2),
_xlpm.y,_xlfn.IFS(_xlpm.b="0",0,_xlpm.b="none",0,_xlpm.b="moderate",1,_xlpm.b="strong",2),
_xlpm.d,ABS(_xlpm.x-_xlpm.y),
IF(_xlpm.d=0,"green",IF(_xlpm.d=1,"orange",IF(_xlpm.d=2,"red","check")))
)</f>
        <v>green</v>
      </c>
      <c r="EA62" s="1" t="str">
        <f t="array" ref="EA62">_xlfn.LET(
_xlpm.a,LOWER(TRIM(DU62&amp;"")),
_xlpm.b,LOWER(TRIM(DV62&amp;"")),
_xlpm.x,_xlfn.IFS(_xlpm.a="0",0,_xlpm.a="none",0,_xlpm.a="moderate",1,_xlpm.a="strong",2),
_xlpm.y,_xlfn.IFS(_xlpm.b="0",0,_xlpm.b="none",0,_xlpm.b="moderate",1,_xlpm.b="strong",2),
_xlpm.d,ABS(_xlpm.x-_xlpm.y),
IF(_xlpm.d=0,"green",IF(_xlpm.d=1,"orange",IF(_xlpm.d=2,"red","check")))
)</f>
        <v>green</v>
      </c>
      <c r="EB62" s="1" t="str">
        <f t="array" ref="EB62">_xlfn.LET(
_xlpm.a,LOWER(TRIM(DW62&amp;"")),
_xlpm.b,LOWER(TRIM(DX62&amp;"")),
_xlpm.x,_xlfn.IFS(_xlpm.a="0",0,_xlpm.a="none",0,_xlpm.a="moderate",1,_xlpm.a="strong",2),
_xlpm.y,_xlfn.IFS(_xlpm.b="0",0,_xlpm.b="none",0,_xlpm.b="moderate",1,_xlpm.b="strong",2),
_xlpm.d,ABS(_xlpm.x-_xlpm.y),
IF(_xlpm.d=0,"green",IF(_xlpm.d=1,"orange",IF(_xlpm.d=2,"red","check")))
)</f>
        <v>green</v>
      </c>
      <c r="EC62"/>
      <c r="ED62"/>
      <c r="EE62"/>
      <c r="EF62"/>
      <c r="EG62"/>
      <c r="EH62"/>
      <c r="EI62"/>
      <c r="EJ62"/>
      <c r="EK62"/>
      <c r="EL62"/>
      <c r="EM62"/>
      <c r="EN62"/>
      <c r="EO62"/>
      <c r="EP62"/>
      <c r="EQ62"/>
      <c r="ER62"/>
      <c r="ES62" s="58" t="str">
        <f t="shared" si="8"/>
        <v/>
      </c>
      <c r="ET62" s="58" t="str">
        <f t="shared" si="9"/>
        <v>No</v>
      </c>
      <c r="EU62" s="59" t="str">
        <f t="shared" si="15"/>
        <v>Uninformative</v>
      </c>
      <c r="EV62" s="59" t="str">
        <f t="shared" si="16"/>
        <v>Uninformative</v>
      </c>
      <c r="EW62" s="59" t="str">
        <f t="shared" si="10"/>
        <v>Uninformative</v>
      </c>
      <c r="EX62" s="58" t="str">
        <f t="shared" si="11"/>
        <v>Uninformative</v>
      </c>
      <c r="EY62" s="58" t="str">
        <f t="shared" si="12"/>
        <v>Uninformative</v>
      </c>
      <c r="EZ62" s="58" t="str">
        <f t="shared" si="13"/>
        <v>Uninformative</v>
      </c>
      <c r="FA62" s="58" t="str">
        <f t="shared" si="14"/>
        <v>No</v>
      </c>
    </row>
    <row r="63" spans="1:157" ht="20" customHeight="1">
      <c r="A63" s="32"/>
      <c r="B63" s="32"/>
      <c r="C63" s="32"/>
      <c r="D63" s="32"/>
      <c r="E63" s="32"/>
      <c r="F63" s="32"/>
      <c r="G63" s="32"/>
      <c r="H63" s="32"/>
      <c r="I63" s="32"/>
      <c r="J63" s="32"/>
      <c r="K63" s="32"/>
      <c r="L63" s="32"/>
      <c r="M63" s="32"/>
      <c r="N63" s="32"/>
      <c r="O63" s="32"/>
      <c r="P63" s="32"/>
      <c r="Q63" s="32"/>
      <c r="R63" s="32"/>
      <c r="S63" s="32"/>
      <c r="T63" s="32"/>
      <c r="U63" s="32"/>
      <c r="V63" s="32"/>
      <c r="W63" s="32"/>
      <c r="X63"/>
      <c r="Y63"/>
      <c r="Z63"/>
      <c r="AA63"/>
      <c r="AB63"/>
      <c r="AC63"/>
      <c r="AD63"/>
      <c r="AE63"/>
      <c r="AG63"/>
      <c r="AH63"/>
      <c r="AI63"/>
      <c r="AJ63"/>
      <c r="AK63"/>
      <c r="AL63"/>
      <c r="CZ63"/>
      <c r="DA63"/>
      <c r="DB63"/>
      <c r="DC63"/>
      <c r="DD63"/>
      <c r="DE63"/>
      <c r="DF63"/>
      <c r="DG63"/>
      <c r="DH63"/>
      <c r="DI63"/>
      <c r="DJ63"/>
      <c r="DK63"/>
      <c r="DL63"/>
      <c r="DM63"/>
      <c r="DN63"/>
      <c r="DO63"/>
      <c r="DP63"/>
      <c r="DQ63" s="1">
        <f t="shared" si="17"/>
        <v>0</v>
      </c>
      <c r="DR63" s="1">
        <f t="shared" si="18"/>
        <v>0</v>
      </c>
      <c r="DS63" s="1">
        <f t="shared" si="19"/>
        <v>0</v>
      </c>
      <c r="DT63" s="1">
        <f t="shared" si="20"/>
        <v>0</v>
      </c>
      <c r="DU63" s="1">
        <f t="shared" si="21"/>
        <v>0</v>
      </c>
      <c r="DV63" s="1">
        <f t="shared" si="22"/>
        <v>0</v>
      </c>
      <c r="DW63" s="1">
        <f t="shared" si="23"/>
        <v>0</v>
      </c>
      <c r="DX63" s="1">
        <f t="shared" si="24"/>
        <v>0</v>
      </c>
      <c r="DY63" s="1" t="str">
        <f t="array" ref="DY63">_xlfn.LET(
_xlpm.a,LOWER(TRIM(DQ63&amp;"")),
_xlpm.b,LOWER(TRIM(DR63&amp;"")),
_xlpm.x,_xlfn.IFS(_xlpm.a="0",0,_xlpm.a="none",0,_xlpm.a="moderate",1,_xlpm.a="strong",2),
_xlpm.y,_xlfn.IFS(_xlpm.b="0",0,_xlpm.b="none",0,_xlpm.b="moderate",1,_xlpm.b="strong",2),
_xlpm.d,ABS(_xlpm.x-_xlpm.y),
IF(_xlpm.d=0,"green",IF(_xlpm.d=1,"orange",IF(_xlpm.d=2,"red","check")))
)</f>
        <v>green</v>
      </c>
      <c r="DZ63" s="1" t="str">
        <f t="array" ref="DZ63">_xlfn.LET(
_xlpm.a,LOWER(TRIM(DS63&amp;"")),
_xlpm.b,LOWER(TRIM(DT63&amp;"")),
_xlpm.x,_xlfn.IFS(_xlpm.a="0",0,_xlpm.a="none",0,_xlpm.a="moderate",1,_xlpm.a="strong",2),
_xlpm.y,_xlfn.IFS(_xlpm.b="0",0,_xlpm.b="none",0,_xlpm.b="moderate",1,_xlpm.b="strong",2),
_xlpm.d,ABS(_xlpm.x-_xlpm.y),
IF(_xlpm.d=0,"green",IF(_xlpm.d=1,"orange",IF(_xlpm.d=2,"red","check")))
)</f>
        <v>green</v>
      </c>
      <c r="EA63" s="1" t="str">
        <f t="array" ref="EA63">_xlfn.LET(
_xlpm.a,LOWER(TRIM(DU63&amp;"")),
_xlpm.b,LOWER(TRIM(DV63&amp;"")),
_xlpm.x,_xlfn.IFS(_xlpm.a="0",0,_xlpm.a="none",0,_xlpm.a="moderate",1,_xlpm.a="strong",2),
_xlpm.y,_xlfn.IFS(_xlpm.b="0",0,_xlpm.b="none",0,_xlpm.b="moderate",1,_xlpm.b="strong",2),
_xlpm.d,ABS(_xlpm.x-_xlpm.y),
IF(_xlpm.d=0,"green",IF(_xlpm.d=1,"orange",IF(_xlpm.d=2,"red","check")))
)</f>
        <v>green</v>
      </c>
      <c r="EB63" s="1" t="str">
        <f t="array" ref="EB63">_xlfn.LET(
_xlpm.a,LOWER(TRIM(DW63&amp;"")),
_xlpm.b,LOWER(TRIM(DX63&amp;"")),
_xlpm.x,_xlfn.IFS(_xlpm.a="0",0,_xlpm.a="none",0,_xlpm.a="moderate",1,_xlpm.a="strong",2),
_xlpm.y,_xlfn.IFS(_xlpm.b="0",0,_xlpm.b="none",0,_xlpm.b="moderate",1,_xlpm.b="strong",2),
_xlpm.d,ABS(_xlpm.x-_xlpm.y),
IF(_xlpm.d=0,"green",IF(_xlpm.d=1,"orange",IF(_xlpm.d=2,"red","check")))
)</f>
        <v>green</v>
      </c>
      <c r="EC63"/>
      <c r="ED63"/>
      <c r="EE63"/>
      <c r="EF63"/>
      <c r="EG63"/>
      <c r="EH63"/>
      <c r="EI63"/>
      <c r="EJ63"/>
      <c r="EK63"/>
      <c r="EL63"/>
      <c r="EM63"/>
      <c r="EN63"/>
      <c r="EO63"/>
      <c r="EP63"/>
      <c r="EQ63"/>
      <c r="ER63"/>
      <c r="ES63" s="58" t="str">
        <f t="shared" si="8"/>
        <v/>
      </c>
      <c r="ET63" s="58" t="str">
        <f t="shared" si="9"/>
        <v>No</v>
      </c>
      <c r="EU63" s="59" t="str">
        <f t="shared" si="15"/>
        <v>Uninformative</v>
      </c>
      <c r="EV63" s="59" t="str">
        <f t="shared" si="16"/>
        <v>Uninformative</v>
      </c>
      <c r="EW63" s="59" t="str">
        <f t="shared" si="10"/>
        <v>Uninformative</v>
      </c>
      <c r="EX63" s="58" t="str">
        <f t="shared" si="11"/>
        <v>Uninformative</v>
      </c>
      <c r="EY63" s="58" t="str">
        <f t="shared" si="12"/>
        <v>Uninformative</v>
      </c>
      <c r="EZ63" s="58" t="str">
        <f t="shared" si="13"/>
        <v>Uninformative</v>
      </c>
      <c r="FA63" s="58" t="str">
        <f t="shared" si="14"/>
        <v>No</v>
      </c>
    </row>
    <row r="64" spans="1:157" ht="20" customHeight="1">
      <c r="A64" s="32"/>
      <c r="B64" s="32"/>
      <c r="C64" s="32"/>
      <c r="D64" s="32"/>
      <c r="E64" s="32"/>
      <c r="F64" s="32"/>
      <c r="G64" s="32"/>
      <c r="H64" s="32"/>
      <c r="I64" s="32"/>
      <c r="J64" s="32"/>
      <c r="K64" s="32"/>
      <c r="L64" s="32"/>
      <c r="M64" s="32"/>
      <c r="N64" s="32"/>
      <c r="O64" s="32"/>
      <c r="P64" s="32"/>
      <c r="Q64" s="32"/>
      <c r="R64" s="32"/>
      <c r="S64" s="32"/>
      <c r="T64" s="32"/>
      <c r="U64" s="32"/>
      <c r="V64" s="32"/>
      <c r="W64" s="32"/>
      <c r="X64"/>
      <c r="Y64"/>
      <c r="Z64"/>
      <c r="AA64"/>
      <c r="AB64"/>
      <c r="AC64"/>
      <c r="AD64"/>
      <c r="AE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U64"/>
      <c r="BV64"/>
      <c r="BW64"/>
      <c r="BX64"/>
      <c r="BY64"/>
      <c r="BZ64"/>
      <c r="CB64"/>
      <c r="CC64"/>
      <c r="CD64"/>
      <c r="CF64"/>
      <c r="CG64"/>
      <c r="CH64"/>
      <c r="CJ64"/>
      <c r="CK64"/>
      <c r="CL64"/>
      <c r="CM64"/>
      <c r="CN64"/>
      <c r="CO64"/>
      <c r="CQ64"/>
      <c r="CR64"/>
      <c r="CS64"/>
      <c r="CT64"/>
      <c r="CU64"/>
      <c r="CV64"/>
      <c r="CW64"/>
      <c r="CX64"/>
      <c r="CY64"/>
      <c r="CZ64"/>
      <c r="DA64"/>
      <c r="DB64"/>
      <c r="DC64"/>
      <c r="DD64"/>
      <c r="DE64"/>
      <c r="DF64"/>
      <c r="DG64"/>
      <c r="DH64"/>
      <c r="DI64"/>
      <c r="DJ64"/>
      <c r="DK64"/>
      <c r="DL64"/>
      <c r="DM64"/>
      <c r="DN64"/>
      <c r="DO64"/>
      <c r="DP64"/>
      <c r="DQ64" s="1">
        <f t="shared" si="17"/>
        <v>0</v>
      </c>
      <c r="DR64" s="1">
        <f t="shared" si="18"/>
        <v>0</v>
      </c>
      <c r="DS64" s="1">
        <f t="shared" si="19"/>
        <v>0</v>
      </c>
      <c r="DT64" s="1">
        <f t="shared" si="20"/>
        <v>0</v>
      </c>
      <c r="DU64" s="1">
        <f t="shared" si="21"/>
        <v>0</v>
      </c>
      <c r="DV64" s="1">
        <f t="shared" si="22"/>
        <v>0</v>
      </c>
      <c r="DW64" s="1">
        <f t="shared" si="23"/>
        <v>0</v>
      </c>
      <c r="DX64" s="1">
        <f t="shared" si="24"/>
        <v>0</v>
      </c>
      <c r="DY64" s="1" t="str">
        <f t="array" ref="DY64">_xlfn.LET(
_xlpm.a,LOWER(TRIM(DQ64&amp;"")),
_xlpm.b,LOWER(TRIM(DR64&amp;"")),
_xlpm.x,_xlfn.IFS(_xlpm.a="0",0,_xlpm.a="none",0,_xlpm.a="moderate",1,_xlpm.a="strong",2),
_xlpm.y,_xlfn.IFS(_xlpm.b="0",0,_xlpm.b="none",0,_xlpm.b="moderate",1,_xlpm.b="strong",2),
_xlpm.d,ABS(_xlpm.x-_xlpm.y),
IF(_xlpm.d=0,"green",IF(_xlpm.d=1,"orange",IF(_xlpm.d=2,"red","check")))
)</f>
        <v>green</v>
      </c>
      <c r="DZ64" s="1" t="str">
        <f t="array" ref="DZ64">_xlfn.LET(
_xlpm.a,LOWER(TRIM(DS64&amp;"")),
_xlpm.b,LOWER(TRIM(DT64&amp;"")),
_xlpm.x,_xlfn.IFS(_xlpm.a="0",0,_xlpm.a="none",0,_xlpm.a="moderate",1,_xlpm.a="strong",2),
_xlpm.y,_xlfn.IFS(_xlpm.b="0",0,_xlpm.b="none",0,_xlpm.b="moderate",1,_xlpm.b="strong",2),
_xlpm.d,ABS(_xlpm.x-_xlpm.y),
IF(_xlpm.d=0,"green",IF(_xlpm.d=1,"orange",IF(_xlpm.d=2,"red","check")))
)</f>
        <v>green</v>
      </c>
      <c r="EA64" s="1" t="str">
        <f t="array" ref="EA64">_xlfn.LET(
_xlpm.a,LOWER(TRIM(DU64&amp;"")),
_xlpm.b,LOWER(TRIM(DV64&amp;"")),
_xlpm.x,_xlfn.IFS(_xlpm.a="0",0,_xlpm.a="none",0,_xlpm.a="moderate",1,_xlpm.a="strong",2),
_xlpm.y,_xlfn.IFS(_xlpm.b="0",0,_xlpm.b="none",0,_xlpm.b="moderate",1,_xlpm.b="strong",2),
_xlpm.d,ABS(_xlpm.x-_xlpm.y),
IF(_xlpm.d=0,"green",IF(_xlpm.d=1,"orange",IF(_xlpm.d=2,"red","check")))
)</f>
        <v>green</v>
      </c>
      <c r="EB64" s="1" t="str">
        <f t="array" ref="EB64">_xlfn.LET(
_xlpm.a,LOWER(TRIM(DW64&amp;"")),
_xlpm.b,LOWER(TRIM(DX64&amp;"")),
_xlpm.x,_xlfn.IFS(_xlpm.a="0",0,_xlpm.a="none",0,_xlpm.a="moderate",1,_xlpm.a="strong",2),
_xlpm.y,_xlfn.IFS(_xlpm.b="0",0,_xlpm.b="none",0,_xlpm.b="moderate",1,_xlpm.b="strong",2),
_xlpm.d,ABS(_xlpm.x-_xlpm.y),
IF(_xlpm.d=0,"green",IF(_xlpm.d=1,"orange",IF(_xlpm.d=2,"red","check")))
)</f>
        <v>green</v>
      </c>
      <c r="EC64"/>
      <c r="ED64"/>
      <c r="EE64"/>
      <c r="EF64"/>
      <c r="EG64"/>
      <c r="EH64"/>
      <c r="EI64"/>
      <c r="EJ64"/>
      <c r="EK64"/>
      <c r="EL64"/>
      <c r="EM64"/>
      <c r="EN64"/>
      <c r="EO64"/>
      <c r="EP64"/>
      <c r="EQ64"/>
      <c r="ER64"/>
      <c r="ES64" s="58" t="str">
        <f t="shared" si="8"/>
        <v/>
      </c>
      <c r="ET64" s="58" t="str">
        <f t="shared" si="9"/>
        <v>No</v>
      </c>
      <c r="EU64" s="59" t="str">
        <f t="shared" si="15"/>
        <v>Uninformative</v>
      </c>
      <c r="EV64" s="59" t="str">
        <f t="shared" si="16"/>
        <v>Uninformative</v>
      </c>
      <c r="EW64" s="59" t="str">
        <f t="shared" si="10"/>
        <v>Uninformative</v>
      </c>
      <c r="EX64" s="58" t="str">
        <f t="shared" si="11"/>
        <v>Uninformative</v>
      </c>
      <c r="EY64" s="58" t="str">
        <f t="shared" si="12"/>
        <v>Uninformative</v>
      </c>
      <c r="EZ64" s="58" t="str">
        <f t="shared" si="13"/>
        <v>Uninformative</v>
      </c>
      <c r="FA64" s="58" t="str">
        <f t="shared" si="14"/>
        <v>No</v>
      </c>
    </row>
    <row r="65" spans="1:157" ht="20" customHeight="1">
      <c r="A65" s="32"/>
      <c r="B65" s="32"/>
      <c r="C65" s="32"/>
      <c r="D65" s="32"/>
      <c r="E65" s="32"/>
      <c r="F65" s="32"/>
      <c r="G65" s="32"/>
      <c r="H65" s="32"/>
      <c r="I65" s="32"/>
      <c r="J65" s="32"/>
      <c r="K65" s="32"/>
      <c r="L65" s="32"/>
      <c r="M65" s="32"/>
      <c r="N65" s="32"/>
      <c r="O65" s="32"/>
      <c r="P65" s="32"/>
      <c r="Q65" s="32"/>
      <c r="R65" s="32"/>
      <c r="S65" s="32"/>
      <c r="T65" s="32"/>
      <c r="U65" s="32"/>
      <c r="V65" s="32"/>
      <c r="W65" s="32"/>
      <c r="X65"/>
      <c r="Y65"/>
      <c r="Z65"/>
      <c r="AA65"/>
      <c r="AB65"/>
      <c r="AC65"/>
      <c r="AD65"/>
      <c r="AE65"/>
      <c r="AG65"/>
      <c r="AH65"/>
      <c r="AI65"/>
      <c r="AJ65"/>
      <c r="AK65"/>
      <c r="AL65"/>
      <c r="AM65"/>
      <c r="AN65"/>
      <c r="AO65"/>
      <c r="AP65"/>
      <c r="AQ65"/>
      <c r="AR65"/>
      <c r="AS65"/>
      <c r="AT65"/>
      <c r="AU65"/>
      <c r="AV65"/>
      <c r="AW65"/>
      <c r="AX65"/>
      <c r="AY65"/>
      <c r="AZ65"/>
      <c r="BA65"/>
      <c r="BB65"/>
      <c r="BC65"/>
      <c r="BD65"/>
      <c r="BE65"/>
      <c r="BF65"/>
      <c r="BG65"/>
      <c r="BH65"/>
      <c r="BI65"/>
      <c r="BJ65"/>
      <c r="BK65"/>
      <c r="BL65"/>
      <c r="BQ65"/>
      <c r="BR65"/>
      <c r="BS65"/>
      <c r="BT65"/>
      <c r="BU65"/>
      <c r="BV65"/>
      <c r="BW65"/>
      <c r="BX65"/>
      <c r="BY65"/>
      <c r="BZ65"/>
      <c r="CB65"/>
      <c r="CC65"/>
      <c r="CD65"/>
      <c r="CF65"/>
      <c r="CG65"/>
      <c r="CH65"/>
      <c r="CJ65"/>
      <c r="CK65"/>
      <c r="CL65"/>
      <c r="CM65"/>
      <c r="CN65"/>
      <c r="CP65"/>
      <c r="CQ65"/>
      <c r="CR65"/>
      <c r="CS65"/>
      <c r="CT65"/>
      <c r="CU65"/>
      <c r="CV65"/>
      <c r="CW65"/>
      <c r="CX65"/>
      <c r="CY65"/>
      <c r="CZ65"/>
      <c r="DA65"/>
      <c r="DB65"/>
      <c r="DC65"/>
      <c r="DD65"/>
      <c r="DE65"/>
      <c r="DF65"/>
      <c r="DG65"/>
      <c r="DH65"/>
      <c r="DI65"/>
      <c r="DJ65"/>
      <c r="DK65"/>
      <c r="DL65"/>
      <c r="DM65"/>
      <c r="DN65"/>
      <c r="DO65"/>
      <c r="DP65"/>
      <c r="DQ65" s="1">
        <f t="shared" si="17"/>
        <v>0</v>
      </c>
      <c r="DR65" s="1">
        <f t="shared" si="18"/>
        <v>0</v>
      </c>
      <c r="DS65" s="1">
        <f t="shared" si="19"/>
        <v>0</v>
      </c>
      <c r="DT65" s="1">
        <f t="shared" si="20"/>
        <v>0</v>
      </c>
      <c r="DU65" s="1">
        <f t="shared" si="21"/>
        <v>0</v>
      </c>
      <c r="DV65" s="1">
        <f t="shared" si="22"/>
        <v>0</v>
      </c>
      <c r="DW65" s="1">
        <f t="shared" si="23"/>
        <v>0</v>
      </c>
      <c r="DX65" s="1">
        <f t="shared" si="24"/>
        <v>0</v>
      </c>
      <c r="DY65" s="1" t="str">
        <f t="array" ref="DY65">_xlfn.LET(
_xlpm.a,LOWER(TRIM(DQ65&amp;"")),
_xlpm.b,LOWER(TRIM(DR65&amp;"")),
_xlpm.x,_xlfn.IFS(_xlpm.a="0",0,_xlpm.a="none",0,_xlpm.a="moderate",1,_xlpm.a="strong",2),
_xlpm.y,_xlfn.IFS(_xlpm.b="0",0,_xlpm.b="none",0,_xlpm.b="moderate",1,_xlpm.b="strong",2),
_xlpm.d,ABS(_xlpm.x-_xlpm.y),
IF(_xlpm.d=0,"green",IF(_xlpm.d=1,"orange",IF(_xlpm.d=2,"red","check")))
)</f>
        <v>green</v>
      </c>
      <c r="DZ65" s="1" t="str">
        <f t="array" ref="DZ65">_xlfn.LET(
_xlpm.a,LOWER(TRIM(DS65&amp;"")),
_xlpm.b,LOWER(TRIM(DT65&amp;"")),
_xlpm.x,_xlfn.IFS(_xlpm.a="0",0,_xlpm.a="none",0,_xlpm.a="moderate",1,_xlpm.a="strong",2),
_xlpm.y,_xlfn.IFS(_xlpm.b="0",0,_xlpm.b="none",0,_xlpm.b="moderate",1,_xlpm.b="strong",2),
_xlpm.d,ABS(_xlpm.x-_xlpm.y),
IF(_xlpm.d=0,"green",IF(_xlpm.d=1,"orange",IF(_xlpm.d=2,"red","check")))
)</f>
        <v>green</v>
      </c>
      <c r="EA65" s="1" t="str">
        <f t="array" ref="EA65">_xlfn.LET(
_xlpm.a,LOWER(TRIM(DU65&amp;"")),
_xlpm.b,LOWER(TRIM(DV65&amp;"")),
_xlpm.x,_xlfn.IFS(_xlpm.a="0",0,_xlpm.a="none",0,_xlpm.a="moderate",1,_xlpm.a="strong",2),
_xlpm.y,_xlfn.IFS(_xlpm.b="0",0,_xlpm.b="none",0,_xlpm.b="moderate",1,_xlpm.b="strong",2),
_xlpm.d,ABS(_xlpm.x-_xlpm.y),
IF(_xlpm.d=0,"green",IF(_xlpm.d=1,"orange",IF(_xlpm.d=2,"red","check")))
)</f>
        <v>green</v>
      </c>
      <c r="EB65" s="1" t="str">
        <f t="array" ref="EB65">_xlfn.LET(
_xlpm.a,LOWER(TRIM(DW65&amp;"")),
_xlpm.b,LOWER(TRIM(DX65&amp;"")),
_xlpm.x,_xlfn.IFS(_xlpm.a="0",0,_xlpm.a="none",0,_xlpm.a="moderate",1,_xlpm.a="strong",2),
_xlpm.y,_xlfn.IFS(_xlpm.b="0",0,_xlpm.b="none",0,_xlpm.b="moderate",1,_xlpm.b="strong",2),
_xlpm.d,ABS(_xlpm.x-_xlpm.y),
IF(_xlpm.d=0,"green",IF(_xlpm.d=1,"orange",IF(_xlpm.d=2,"red","check")))
)</f>
        <v>green</v>
      </c>
      <c r="EC65"/>
      <c r="ED65"/>
      <c r="EE65"/>
      <c r="EF65"/>
      <c r="EG65"/>
      <c r="EH65"/>
      <c r="EI65"/>
      <c r="EJ65"/>
      <c r="EK65"/>
      <c r="EL65"/>
      <c r="EM65"/>
      <c r="EN65"/>
      <c r="EO65"/>
      <c r="EP65"/>
      <c r="EQ65"/>
      <c r="ER65"/>
      <c r="ES65" s="58" t="str">
        <f t="shared" si="8"/>
        <v/>
      </c>
      <c r="ET65" s="58" t="str">
        <f t="shared" si="9"/>
        <v>No</v>
      </c>
      <c r="EU65" s="59" t="str">
        <f t="shared" si="15"/>
        <v>Uninformative</v>
      </c>
      <c r="EV65" s="59" t="str">
        <f t="shared" si="16"/>
        <v>Uninformative</v>
      </c>
      <c r="EW65" s="59" t="str">
        <f t="shared" si="10"/>
        <v>Uninformative</v>
      </c>
      <c r="EX65" s="58" t="str">
        <f t="shared" si="11"/>
        <v>Uninformative</v>
      </c>
      <c r="EY65" s="58" t="str">
        <f t="shared" si="12"/>
        <v>Uninformative</v>
      </c>
      <c r="EZ65" s="58" t="str">
        <f t="shared" si="13"/>
        <v>Uninformative</v>
      </c>
      <c r="FA65" s="58" t="str">
        <f t="shared" si="14"/>
        <v>No</v>
      </c>
    </row>
    <row r="66" spans="1:157" ht="20" customHeight="1">
      <c r="A66" s="32"/>
      <c r="B66" s="32"/>
      <c r="C66" s="32"/>
      <c r="D66" s="32"/>
      <c r="E66" s="32"/>
      <c r="F66" s="32"/>
      <c r="G66" s="32"/>
      <c r="H66" s="32"/>
      <c r="I66" s="32"/>
      <c r="J66" s="32"/>
      <c r="K66" s="32"/>
      <c r="L66" s="32"/>
      <c r="M66" s="32"/>
      <c r="N66" s="32"/>
      <c r="O66" s="32"/>
      <c r="P66" s="32"/>
      <c r="Q66" s="32"/>
      <c r="R66" s="32"/>
      <c r="S66" s="32"/>
      <c r="T66" s="32"/>
      <c r="U66" s="32"/>
      <c r="V66" s="32"/>
      <c r="W66" s="32"/>
      <c r="X66"/>
      <c r="AA66"/>
      <c r="AB66"/>
      <c r="AM66"/>
      <c r="AN66"/>
      <c r="AO66"/>
      <c r="AP66"/>
      <c r="AQ66"/>
      <c r="AR66"/>
      <c r="AS66"/>
      <c r="AT66"/>
      <c r="AU66"/>
      <c r="AV66"/>
      <c r="AW66"/>
      <c r="AX66"/>
      <c r="AY66"/>
      <c r="AZ66"/>
      <c r="BE66"/>
      <c r="BF66"/>
      <c r="BG66"/>
      <c r="BH66"/>
      <c r="BU66"/>
      <c r="BV66"/>
      <c r="BW66"/>
      <c r="BX66"/>
      <c r="BY66"/>
      <c r="BZ66"/>
      <c r="CB66"/>
      <c r="CC66"/>
      <c r="CD66"/>
      <c r="CF66"/>
      <c r="CG66"/>
      <c r="CH66"/>
      <c r="CJ66"/>
      <c r="CK66"/>
      <c r="CM66"/>
      <c r="CQ66"/>
      <c r="CR66"/>
      <c r="CS66"/>
      <c r="CT66"/>
      <c r="CU66"/>
      <c r="CV66"/>
      <c r="CW66"/>
      <c r="CX66"/>
      <c r="CY66"/>
      <c r="CZ66"/>
      <c r="DA66"/>
      <c r="DB66"/>
      <c r="DC66"/>
      <c r="DD66"/>
      <c r="DE66"/>
      <c r="DF66"/>
      <c r="DG66"/>
      <c r="DH66"/>
      <c r="DI66"/>
      <c r="DJ66"/>
      <c r="DK66"/>
      <c r="DL66"/>
      <c r="DM66"/>
      <c r="DN66"/>
      <c r="DO66"/>
      <c r="DP66"/>
      <c r="DQ66" s="1">
        <f t="shared" si="17"/>
        <v>0</v>
      </c>
      <c r="DR66" s="1">
        <f t="shared" si="18"/>
        <v>0</v>
      </c>
      <c r="DS66" s="1">
        <f t="shared" si="19"/>
        <v>0</v>
      </c>
      <c r="DT66" s="1">
        <f t="shared" si="20"/>
        <v>0</v>
      </c>
      <c r="DU66" s="1">
        <f t="shared" si="21"/>
        <v>0</v>
      </c>
      <c r="DV66" s="1">
        <f t="shared" si="22"/>
        <v>0</v>
      </c>
      <c r="DW66" s="1">
        <f t="shared" si="23"/>
        <v>0</v>
      </c>
      <c r="DX66" s="1">
        <f t="shared" si="24"/>
        <v>0</v>
      </c>
      <c r="DY66" s="1" t="str">
        <f t="array" ref="DY66">_xlfn.LET(
_xlpm.a,LOWER(TRIM(DQ66&amp;"")),
_xlpm.b,LOWER(TRIM(DR66&amp;"")),
_xlpm.x,_xlfn.IFS(_xlpm.a="0",0,_xlpm.a="none",0,_xlpm.a="moderate",1,_xlpm.a="strong",2),
_xlpm.y,_xlfn.IFS(_xlpm.b="0",0,_xlpm.b="none",0,_xlpm.b="moderate",1,_xlpm.b="strong",2),
_xlpm.d,ABS(_xlpm.x-_xlpm.y),
IF(_xlpm.d=0,"green",IF(_xlpm.d=1,"orange",IF(_xlpm.d=2,"red","check")))
)</f>
        <v>green</v>
      </c>
      <c r="DZ66" s="1" t="str">
        <f t="array" ref="DZ66">_xlfn.LET(
_xlpm.a,LOWER(TRIM(DS66&amp;"")),
_xlpm.b,LOWER(TRIM(DT66&amp;"")),
_xlpm.x,_xlfn.IFS(_xlpm.a="0",0,_xlpm.a="none",0,_xlpm.a="moderate",1,_xlpm.a="strong",2),
_xlpm.y,_xlfn.IFS(_xlpm.b="0",0,_xlpm.b="none",0,_xlpm.b="moderate",1,_xlpm.b="strong",2),
_xlpm.d,ABS(_xlpm.x-_xlpm.y),
IF(_xlpm.d=0,"green",IF(_xlpm.d=1,"orange",IF(_xlpm.d=2,"red","check")))
)</f>
        <v>green</v>
      </c>
      <c r="EA66" s="1" t="str">
        <f t="array" ref="EA66">_xlfn.LET(
_xlpm.a,LOWER(TRIM(DU66&amp;"")),
_xlpm.b,LOWER(TRIM(DV66&amp;"")),
_xlpm.x,_xlfn.IFS(_xlpm.a="0",0,_xlpm.a="none",0,_xlpm.a="moderate",1,_xlpm.a="strong",2),
_xlpm.y,_xlfn.IFS(_xlpm.b="0",0,_xlpm.b="none",0,_xlpm.b="moderate",1,_xlpm.b="strong",2),
_xlpm.d,ABS(_xlpm.x-_xlpm.y),
IF(_xlpm.d=0,"green",IF(_xlpm.d=1,"orange",IF(_xlpm.d=2,"red","check")))
)</f>
        <v>green</v>
      </c>
      <c r="EB66" s="1" t="str">
        <f t="array" ref="EB66">_xlfn.LET(
_xlpm.a,LOWER(TRIM(DW66&amp;"")),
_xlpm.b,LOWER(TRIM(DX66&amp;"")),
_xlpm.x,_xlfn.IFS(_xlpm.a="0",0,_xlpm.a="none",0,_xlpm.a="moderate",1,_xlpm.a="strong",2),
_xlpm.y,_xlfn.IFS(_xlpm.b="0",0,_xlpm.b="none",0,_xlpm.b="moderate",1,_xlpm.b="strong",2),
_xlpm.d,ABS(_xlpm.x-_xlpm.y),
IF(_xlpm.d=0,"green",IF(_xlpm.d=1,"orange",IF(_xlpm.d=2,"red","check")))
)</f>
        <v>green</v>
      </c>
      <c r="EC66"/>
      <c r="ED66"/>
      <c r="EE66"/>
      <c r="EF66"/>
      <c r="EG66"/>
      <c r="EH66"/>
      <c r="EI66"/>
      <c r="EJ66"/>
      <c r="EK66"/>
      <c r="EL66"/>
      <c r="EM66"/>
      <c r="EN66"/>
      <c r="EO66"/>
      <c r="EP66"/>
      <c r="EQ66"/>
      <c r="ER66"/>
      <c r="ES66" s="58" t="str">
        <f t="shared" si="8"/>
        <v/>
      </c>
      <c r="ET66" s="58" t="str">
        <f t="shared" si="9"/>
        <v>No</v>
      </c>
      <c r="EU66" s="59" t="str">
        <f t="shared" si="15"/>
        <v>Uninformative</v>
      </c>
      <c r="EV66" s="59" t="str">
        <f t="shared" si="16"/>
        <v>Uninformative</v>
      </c>
      <c r="EW66" s="59" t="str">
        <f t="shared" si="10"/>
        <v>Uninformative</v>
      </c>
      <c r="EX66" s="58" t="str">
        <f t="shared" si="11"/>
        <v>Uninformative</v>
      </c>
      <c r="EY66" s="58" t="str">
        <f t="shared" si="12"/>
        <v>Uninformative</v>
      </c>
      <c r="EZ66" s="58" t="str">
        <f t="shared" si="13"/>
        <v>Uninformative</v>
      </c>
      <c r="FA66" s="58" t="str">
        <f t="shared" si="14"/>
        <v>No</v>
      </c>
    </row>
    <row r="67" spans="1:157" ht="20" customHeight="1">
      <c r="A67" s="32"/>
      <c r="B67" s="32"/>
      <c r="C67" s="32"/>
      <c r="D67" s="32"/>
      <c r="E67" s="32"/>
      <c r="F67" s="32"/>
      <c r="G67" s="32"/>
      <c r="H67" s="32"/>
      <c r="I67" s="32"/>
      <c r="J67" s="32"/>
      <c r="K67" s="32"/>
      <c r="L67" s="32"/>
      <c r="M67" s="32"/>
      <c r="N67" s="32"/>
      <c r="O67" s="32"/>
      <c r="P67" s="32"/>
      <c r="Q67" s="32"/>
      <c r="R67" s="32"/>
      <c r="S67" s="32"/>
      <c r="T67" s="32"/>
      <c r="U67" s="32"/>
      <c r="V67" s="32"/>
      <c r="W67" s="32"/>
      <c r="X67"/>
      <c r="AA67"/>
      <c r="AB67"/>
      <c r="AM67"/>
      <c r="AN67"/>
      <c r="AO67"/>
      <c r="AP67"/>
      <c r="AQ67"/>
      <c r="AR67"/>
      <c r="AS67"/>
      <c r="AT67"/>
      <c r="AU67"/>
      <c r="AV67"/>
      <c r="AW67"/>
      <c r="AX67"/>
      <c r="AY67"/>
      <c r="AZ67"/>
      <c r="BA67"/>
      <c r="BB67"/>
      <c r="BC67"/>
      <c r="BD67"/>
      <c r="BE67"/>
      <c r="BF67"/>
      <c r="BG67"/>
      <c r="BH67"/>
      <c r="BI67"/>
      <c r="BJ67"/>
      <c r="BK67"/>
      <c r="BL67"/>
      <c r="BQ67"/>
      <c r="BR67"/>
      <c r="BS67"/>
      <c r="BT67"/>
      <c r="BU67"/>
      <c r="BV67"/>
      <c r="BW67"/>
      <c r="BX67"/>
      <c r="BY67"/>
      <c r="BZ67"/>
      <c r="CB67"/>
      <c r="CC67"/>
      <c r="CD67"/>
      <c r="CF67"/>
      <c r="CG67"/>
      <c r="CH67"/>
      <c r="CJ67"/>
      <c r="CK67"/>
      <c r="CL67"/>
      <c r="CM67"/>
      <c r="CN67"/>
      <c r="CP67"/>
      <c r="CQ67"/>
      <c r="CR67"/>
      <c r="CS67"/>
      <c r="CT67"/>
      <c r="CU67"/>
      <c r="CV67"/>
      <c r="CW67"/>
      <c r="CX67"/>
      <c r="CY67"/>
      <c r="CZ67"/>
      <c r="DA67"/>
      <c r="DB67"/>
      <c r="DC67"/>
      <c r="DD67"/>
      <c r="DE67"/>
      <c r="DF67"/>
      <c r="DG67"/>
      <c r="DH67"/>
      <c r="DI67"/>
      <c r="DJ67"/>
      <c r="DK67"/>
      <c r="DL67"/>
      <c r="DM67"/>
      <c r="DN67"/>
      <c r="DO67"/>
      <c r="DP67"/>
      <c r="DQ67" s="1">
        <f t="shared" ref="DQ67:DQ98" si="25">CR67</f>
        <v>0</v>
      </c>
      <c r="DR67" s="1">
        <f t="shared" ref="DR67:DR98" si="26">DB67</f>
        <v>0</v>
      </c>
      <c r="DS67" s="1">
        <f t="shared" ref="DS67:DS98" si="27">CT67</f>
        <v>0</v>
      </c>
      <c r="DT67" s="1">
        <f t="shared" ref="DT67:DT98" si="28">DF67</f>
        <v>0</v>
      </c>
      <c r="DU67" s="1">
        <f t="shared" ref="DU67:DU98" si="29">CV67</f>
        <v>0</v>
      </c>
      <c r="DV67" s="1">
        <f t="shared" ref="DV67:DV98" si="30">DJ67</f>
        <v>0</v>
      </c>
      <c r="DW67" s="1">
        <f t="shared" ref="DW67:DW98" si="31">CX67</f>
        <v>0</v>
      </c>
      <c r="DX67" s="1">
        <f t="shared" ref="DX67:DX98" si="32">DN67</f>
        <v>0</v>
      </c>
      <c r="DY67" s="1" t="str">
        <f t="array" ref="DY67">_xlfn.LET(
_xlpm.a,LOWER(TRIM(DQ67&amp;"")),
_xlpm.b,LOWER(TRIM(DR67&amp;"")),
_xlpm.x,_xlfn.IFS(_xlpm.a="0",0,_xlpm.a="none",0,_xlpm.a="moderate",1,_xlpm.a="strong",2),
_xlpm.y,_xlfn.IFS(_xlpm.b="0",0,_xlpm.b="none",0,_xlpm.b="moderate",1,_xlpm.b="strong",2),
_xlpm.d,ABS(_xlpm.x-_xlpm.y),
IF(_xlpm.d=0,"green",IF(_xlpm.d=1,"orange",IF(_xlpm.d=2,"red","check")))
)</f>
        <v>green</v>
      </c>
      <c r="DZ67" s="1" t="str">
        <f t="array" ref="DZ67">_xlfn.LET(
_xlpm.a,LOWER(TRIM(DS67&amp;"")),
_xlpm.b,LOWER(TRIM(DT67&amp;"")),
_xlpm.x,_xlfn.IFS(_xlpm.a="0",0,_xlpm.a="none",0,_xlpm.a="moderate",1,_xlpm.a="strong",2),
_xlpm.y,_xlfn.IFS(_xlpm.b="0",0,_xlpm.b="none",0,_xlpm.b="moderate",1,_xlpm.b="strong",2),
_xlpm.d,ABS(_xlpm.x-_xlpm.y),
IF(_xlpm.d=0,"green",IF(_xlpm.d=1,"orange",IF(_xlpm.d=2,"red","check")))
)</f>
        <v>green</v>
      </c>
      <c r="EA67" s="1" t="str">
        <f t="array" ref="EA67">_xlfn.LET(
_xlpm.a,LOWER(TRIM(DU67&amp;"")),
_xlpm.b,LOWER(TRIM(DV67&amp;"")),
_xlpm.x,_xlfn.IFS(_xlpm.a="0",0,_xlpm.a="none",0,_xlpm.a="moderate",1,_xlpm.a="strong",2),
_xlpm.y,_xlfn.IFS(_xlpm.b="0",0,_xlpm.b="none",0,_xlpm.b="moderate",1,_xlpm.b="strong",2),
_xlpm.d,ABS(_xlpm.x-_xlpm.y),
IF(_xlpm.d=0,"green",IF(_xlpm.d=1,"orange",IF(_xlpm.d=2,"red","check")))
)</f>
        <v>green</v>
      </c>
      <c r="EB67" s="1" t="str">
        <f t="array" ref="EB67">_xlfn.LET(
_xlpm.a,LOWER(TRIM(DW67&amp;"")),
_xlpm.b,LOWER(TRIM(DX67&amp;"")),
_xlpm.x,_xlfn.IFS(_xlpm.a="0",0,_xlpm.a="none",0,_xlpm.a="moderate",1,_xlpm.a="strong",2),
_xlpm.y,_xlfn.IFS(_xlpm.b="0",0,_xlpm.b="none",0,_xlpm.b="moderate",1,_xlpm.b="strong",2),
_xlpm.d,ABS(_xlpm.x-_xlpm.y),
IF(_xlpm.d=0,"green",IF(_xlpm.d=1,"orange",IF(_xlpm.d=2,"red","check")))
)</f>
        <v>green</v>
      </c>
      <c r="EC67"/>
      <c r="ED67"/>
      <c r="EE67"/>
      <c r="EF67"/>
      <c r="EG67"/>
      <c r="EH67"/>
      <c r="EI67"/>
      <c r="EJ67"/>
      <c r="EK67"/>
      <c r="EL67"/>
      <c r="EM67"/>
      <c r="EN67"/>
      <c r="EO67"/>
      <c r="EP67"/>
      <c r="EQ67"/>
      <c r="ER67"/>
      <c r="ES67" s="58" t="str">
        <f t="shared" si="8"/>
        <v/>
      </c>
      <c r="ET67" s="58" t="str">
        <f t="shared" si="9"/>
        <v>No</v>
      </c>
      <c r="EU67" s="59" t="str">
        <f t="shared" si="15"/>
        <v>Uninformative</v>
      </c>
      <c r="EV67" s="59" t="str">
        <f t="shared" si="16"/>
        <v>Uninformative</v>
      </c>
      <c r="EW67" s="59" t="str">
        <f t="shared" si="10"/>
        <v>Uninformative</v>
      </c>
      <c r="EX67" s="58" t="str">
        <f t="shared" si="11"/>
        <v>Uninformative</v>
      </c>
      <c r="EY67" s="58" t="str">
        <f t="shared" si="12"/>
        <v>Uninformative</v>
      </c>
      <c r="EZ67" s="58" t="str">
        <f t="shared" si="13"/>
        <v>Uninformative</v>
      </c>
      <c r="FA67" s="58" t="str">
        <f t="shared" si="14"/>
        <v>No</v>
      </c>
    </row>
    <row r="68" spans="1:157" ht="20" customHeight="1">
      <c r="A68" s="32"/>
      <c r="B68" s="32"/>
      <c r="C68" s="32"/>
      <c r="D68" s="32"/>
      <c r="E68" s="32"/>
      <c r="F68" s="32"/>
      <c r="G68" s="32"/>
      <c r="H68" s="32"/>
      <c r="I68" s="32"/>
      <c r="J68" s="32"/>
      <c r="K68" s="32"/>
      <c r="L68" s="32"/>
      <c r="M68" s="32"/>
      <c r="N68" s="32"/>
      <c r="O68" s="32"/>
      <c r="P68" s="32"/>
      <c r="Q68" s="32"/>
      <c r="R68" s="32"/>
      <c r="S68" s="32"/>
      <c r="T68" s="32"/>
      <c r="U68" s="32"/>
      <c r="V68" s="32"/>
      <c r="W68" s="32"/>
      <c r="X68"/>
      <c r="AA68"/>
      <c r="AB68"/>
      <c r="AM68"/>
      <c r="AN68"/>
      <c r="AO68"/>
      <c r="AP68"/>
      <c r="AQ68"/>
      <c r="AR68"/>
      <c r="AS68"/>
      <c r="AT68"/>
      <c r="AU68"/>
      <c r="AV68"/>
      <c r="AW68"/>
      <c r="AX68"/>
      <c r="AY68"/>
      <c r="AZ68"/>
      <c r="BA68"/>
      <c r="BB68"/>
      <c r="BC68"/>
      <c r="BD68"/>
      <c r="BE68"/>
      <c r="BF68"/>
      <c r="BG68"/>
      <c r="BH68"/>
      <c r="BI68"/>
      <c r="BJ68"/>
      <c r="BK68"/>
      <c r="BL68"/>
      <c r="BQ68"/>
      <c r="BR68"/>
      <c r="BS68"/>
      <c r="BT68"/>
      <c r="BU68"/>
      <c r="BV68"/>
      <c r="BW68"/>
      <c r="BX68"/>
      <c r="BY68"/>
      <c r="BZ68"/>
      <c r="CB68"/>
      <c r="CC68"/>
      <c r="CD68"/>
      <c r="CF68"/>
      <c r="CG68"/>
      <c r="CH68"/>
      <c r="CJ68"/>
      <c r="CK68"/>
      <c r="CL68"/>
      <c r="CM68"/>
      <c r="CN68"/>
      <c r="CP68"/>
      <c r="CQ68"/>
      <c r="CR68"/>
      <c r="CS68"/>
      <c r="CT68"/>
      <c r="CU68"/>
      <c r="CV68"/>
      <c r="CW68" s="16"/>
      <c r="CX68"/>
      <c r="CY68"/>
      <c r="CZ68"/>
      <c r="DA68"/>
      <c r="DB68"/>
      <c r="DC68"/>
      <c r="DD68"/>
      <c r="DE68"/>
      <c r="DF68"/>
      <c r="DG68"/>
      <c r="DH68"/>
      <c r="DI68"/>
      <c r="DJ68"/>
      <c r="DK68"/>
      <c r="DL68"/>
      <c r="DM68"/>
      <c r="DN68"/>
      <c r="DO68"/>
      <c r="DP68"/>
      <c r="DQ68" s="1">
        <f t="shared" si="25"/>
        <v>0</v>
      </c>
      <c r="DR68" s="1">
        <f t="shared" si="26"/>
        <v>0</v>
      </c>
      <c r="DS68" s="1">
        <f t="shared" si="27"/>
        <v>0</v>
      </c>
      <c r="DT68" s="1">
        <f t="shared" si="28"/>
        <v>0</v>
      </c>
      <c r="DU68" s="1">
        <f t="shared" si="29"/>
        <v>0</v>
      </c>
      <c r="DV68" s="1">
        <f t="shared" si="30"/>
        <v>0</v>
      </c>
      <c r="DW68" s="1">
        <f t="shared" si="31"/>
        <v>0</v>
      </c>
      <c r="DX68" s="1">
        <f t="shared" si="32"/>
        <v>0</v>
      </c>
      <c r="DY68" s="1" t="str">
        <f t="array" ref="DY68">_xlfn.LET(
_xlpm.a,LOWER(TRIM(DQ68&amp;"")),
_xlpm.b,LOWER(TRIM(DR68&amp;"")),
_xlpm.x,_xlfn.IFS(_xlpm.a="0",0,_xlpm.a="none",0,_xlpm.a="moderate",1,_xlpm.a="strong",2),
_xlpm.y,_xlfn.IFS(_xlpm.b="0",0,_xlpm.b="none",0,_xlpm.b="moderate",1,_xlpm.b="strong",2),
_xlpm.d,ABS(_xlpm.x-_xlpm.y),
IF(_xlpm.d=0,"green",IF(_xlpm.d=1,"orange",IF(_xlpm.d=2,"red","check")))
)</f>
        <v>green</v>
      </c>
      <c r="DZ68" s="1" t="str">
        <f t="array" ref="DZ68">_xlfn.LET(
_xlpm.a,LOWER(TRIM(DS68&amp;"")),
_xlpm.b,LOWER(TRIM(DT68&amp;"")),
_xlpm.x,_xlfn.IFS(_xlpm.a="0",0,_xlpm.a="none",0,_xlpm.a="moderate",1,_xlpm.a="strong",2),
_xlpm.y,_xlfn.IFS(_xlpm.b="0",0,_xlpm.b="none",0,_xlpm.b="moderate",1,_xlpm.b="strong",2),
_xlpm.d,ABS(_xlpm.x-_xlpm.y),
IF(_xlpm.d=0,"green",IF(_xlpm.d=1,"orange",IF(_xlpm.d=2,"red","check")))
)</f>
        <v>green</v>
      </c>
      <c r="EA68" s="1" t="str">
        <f t="array" ref="EA68">_xlfn.LET(
_xlpm.a,LOWER(TRIM(DU68&amp;"")),
_xlpm.b,LOWER(TRIM(DV68&amp;"")),
_xlpm.x,_xlfn.IFS(_xlpm.a="0",0,_xlpm.a="none",0,_xlpm.a="moderate",1,_xlpm.a="strong",2),
_xlpm.y,_xlfn.IFS(_xlpm.b="0",0,_xlpm.b="none",0,_xlpm.b="moderate",1,_xlpm.b="strong",2),
_xlpm.d,ABS(_xlpm.x-_xlpm.y),
IF(_xlpm.d=0,"green",IF(_xlpm.d=1,"orange",IF(_xlpm.d=2,"red","check")))
)</f>
        <v>green</v>
      </c>
      <c r="EB68" s="1" t="str">
        <f t="array" ref="EB68">_xlfn.LET(
_xlpm.a,LOWER(TRIM(DW68&amp;"")),
_xlpm.b,LOWER(TRIM(DX68&amp;"")),
_xlpm.x,_xlfn.IFS(_xlpm.a="0",0,_xlpm.a="none",0,_xlpm.a="moderate",1,_xlpm.a="strong",2),
_xlpm.y,_xlfn.IFS(_xlpm.b="0",0,_xlpm.b="none",0,_xlpm.b="moderate",1,_xlpm.b="strong",2),
_xlpm.d,ABS(_xlpm.x-_xlpm.y),
IF(_xlpm.d=0,"green",IF(_xlpm.d=1,"orange",IF(_xlpm.d=2,"red","check")))
)</f>
        <v>green</v>
      </c>
      <c r="EC68"/>
      <c r="ED68"/>
      <c r="EE68"/>
      <c r="EF68"/>
      <c r="EG68"/>
      <c r="EH68"/>
      <c r="EI68"/>
      <c r="EJ68"/>
      <c r="EK68"/>
      <c r="EL68"/>
      <c r="EM68"/>
      <c r="EN68"/>
      <c r="EO68"/>
      <c r="EP68"/>
      <c r="EQ68"/>
      <c r="ER68"/>
      <c r="ES68" s="58" t="str">
        <f t="shared" ref="ES68:ES105" si="33">IFERROR(VALUE(_xlfn.TEXTBEFORE(_xlfn.TEXTAFTER(AC68,"""84a544d4-0c20-4f9f-bb4b-dd698a9b0c0b"":"),",")),IFERROR(VALUE(_xlfn.TEXTBEFORE(_xlfn.TEXTAFTER(AC68,"""84a544d4-0c20-4f9f-bb4b-dd698a9b0c0b"":"),"}")),IFERROR(VALUE(_xlfn.TEXTBEFORE(_xlfn.TEXTAFTER(AC68,"""784c5905-6667-4dcd-906c-8b405a6572b6"":"),",")),IFERROR(VALUE(_xlfn.TEXTBEFORE(_xlfn.TEXTAFTER(AC68,"""784c5905-6667-4dcd-906c-8b405a6572b6"":"),"}")),""))))</f>
        <v/>
      </c>
      <c r="ET68" s="58" t="str">
        <f t="shared" ref="ET68:ET105" si="34">IF(OR(DF68="Strong",DF68="Moderate",DJ68="Strong",DJ68="Moderate",DN68="Strong",DN68="Moderate"),"Yes","No")</f>
        <v>No</v>
      </c>
      <c r="EU68" s="59" t="str">
        <f t="shared" si="15"/>
        <v>Uninformative</v>
      </c>
      <c r="EV68" s="59" t="str">
        <f t="shared" si="16"/>
        <v>Uninformative</v>
      </c>
      <c r="EW68" s="59" t="str">
        <f t="shared" ref="EW68:EW105" si="35">IF(AND(DM68&gt;=3,DL68=1),"Positive concordance",IF(AND(DM68&gt;=3,DL68&gt;=2),"Gap",IF(AND(DM68&lt;=2,DL68&gt;=2),"Negative concordance","Uninformative")))</f>
        <v>Uninformative</v>
      </c>
      <c r="EX68" s="58" t="str">
        <f t="shared" ref="EX68:EX105" si="36">IF(AND(DE68=4,DD68=1),"Positive concordance",IF(AND(DE68=4,DD68&gt;=2),"Gap",IF(AND(DE68&lt;=3,DD68&gt;=2),"Negative concordance","Uninformative")))</f>
        <v>Uninformative</v>
      </c>
      <c r="EY68" s="58" t="str">
        <f t="shared" ref="EY68:EY105" si="37">IF(AND(DI68=4,DH68=1),"Positive concordance",IF(AND(DI68=4,DH68&gt;=2),"Gap",IF(AND(DI68&lt;=3,DH68&gt;=2),"Negative concordance","Uninformative")))</f>
        <v>Uninformative</v>
      </c>
      <c r="EZ68" s="58" t="str">
        <f t="shared" ref="EZ68:EZ105" si="38">IF(AND(DM68=4,DL68=1),"Positive concordance",IF(AND(DM68=4,DL68&gt;=2),"Gap",IF(AND(DM68&lt;=3,DL68&gt;=2),"Negative concordance","Uninformative")))</f>
        <v>Uninformative</v>
      </c>
      <c r="FA68" s="58" t="str">
        <f t="shared" ref="FA68:FA105" si="39">IF(OR(EX68="Gap",EY68="Gap",EZ68="Gap"),"Yes","No")</f>
        <v>No</v>
      </c>
    </row>
    <row r="69" spans="1:157" ht="20" customHeight="1">
      <c r="A69" s="32"/>
      <c r="B69" s="32"/>
      <c r="C69" s="32"/>
      <c r="D69" s="32"/>
      <c r="E69" s="32"/>
      <c r="F69" s="32"/>
      <c r="G69" s="32"/>
      <c r="H69" s="32"/>
      <c r="I69" s="32"/>
      <c r="J69" s="32"/>
      <c r="K69" s="32"/>
      <c r="L69" s="32"/>
      <c r="M69" s="32"/>
      <c r="N69" s="32"/>
      <c r="O69" s="32"/>
      <c r="P69" s="32"/>
      <c r="Q69" s="32"/>
      <c r="R69" s="32"/>
      <c r="S69" s="32"/>
      <c r="T69" s="32"/>
      <c r="U69" s="32"/>
      <c r="V69" s="32"/>
      <c r="W69" s="32"/>
      <c r="X69"/>
      <c r="Y69"/>
      <c r="Z69"/>
      <c r="AA69"/>
      <c r="AB69"/>
      <c r="AC69"/>
      <c r="AD69"/>
      <c r="AE69"/>
      <c r="AG69"/>
      <c r="AH69"/>
      <c r="AI69"/>
      <c r="AJ69"/>
      <c r="AK69"/>
      <c r="AL69"/>
      <c r="AM69"/>
      <c r="AN69"/>
      <c r="AO69"/>
      <c r="AP69"/>
      <c r="AQ69"/>
      <c r="AR69"/>
      <c r="AS69"/>
      <c r="AT69"/>
      <c r="AU69"/>
      <c r="AV69"/>
      <c r="AW69"/>
      <c r="AX69"/>
      <c r="AY69"/>
      <c r="AZ69"/>
      <c r="BA69"/>
      <c r="BB69"/>
      <c r="BC69"/>
      <c r="BD69"/>
      <c r="BE69"/>
      <c r="BF69"/>
      <c r="BG69"/>
      <c r="BH69"/>
      <c r="BI69"/>
      <c r="BJ69"/>
      <c r="BK69"/>
      <c r="BL69"/>
      <c r="BQ69"/>
      <c r="BR69"/>
      <c r="BS69"/>
      <c r="BT69"/>
      <c r="BU69"/>
      <c r="BV69"/>
      <c r="BW69"/>
      <c r="BX69"/>
      <c r="BY69"/>
      <c r="BZ69"/>
      <c r="CB69"/>
      <c r="CC69"/>
      <c r="CD69"/>
      <c r="CF69"/>
      <c r="CG69"/>
      <c r="CH69"/>
      <c r="CJ69"/>
      <c r="CK69"/>
      <c r="CL69"/>
      <c r="CM69"/>
      <c r="CN69"/>
      <c r="CP69"/>
      <c r="CQ69"/>
      <c r="CR69"/>
      <c r="CS69"/>
      <c r="CT69"/>
      <c r="CU69"/>
      <c r="CV69"/>
      <c r="CW69"/>
      <c r="CX69"/>
      <c r="CY69"/>
      <c r="CZ69"/>
      <c r="DA69"/>
      <c r="DB69"/>
      <c r="DC69"/>
      <c r="DD69"/>
      <c r="DE69"/>
      <c r="DF69"/>
      <c r="DG69"/>
      <c r="DH69"/>
      <c r="DI69"/>
      <c r="DJ69"/>
      <c r="DK69"/>
      <c r="DL69"/>
      <c r="DM69"/>
      <c r="DN69"/>
      <c r="DO69"/>
      <c r="DP69"/>
      <c r="DQ69" s="1">
        <f t="shared" si="25"/>
        <v>0</v>
      </c>
      <c r="DR69" s="1">
        <f t="shared" si="26"/>
        <v>0</v>
      </c>
      <c r="DS69" s="1">
        <f t="shared" si="27"/>
        <v>0</v>
      </c>
      <c r="DT69" s="1">
        <f t="shared" si="28"/>
        <v>0</v>
      </c>
      <c r="DU69" s="1">
        <f t="shared" si="29"/>
        <v>0</v>
      </c>
      <c r="DV69" s="1">
        <f t="shared" si="30"/>
        <v>0</v>
      </c>
      <c r="DW69" s="1">
        <f t="shared" si="31"/>
        <v>0</v>
      </c>
      <c r="DX69" s="1">
        <f t="shared" si="32"/>
        <v>0</v>
      </c>
      <c r="DY69" s="1" t="str">
        <f t="array" ref="DY69">_xlfn.LET(
_xlpm.a,LOWER(TRIM(DQ69&amp;"")),
_xlpm.b,LOWER(TRIM(DR69&amp;"")),
_xlpm.x,_xlfn.IFS(_xlpm.a="0",0,_xlpm.a="none",0,_xlpm.a="moderate",1,_xlpm.a="strong",2),
_xlpm.y,_xlfn.IFS(_xlpm.b="0",0,_xlpm.b="none",0,_xlpm.b="moderate",1,_xlpm.b="strong",2),
_xlpm.d,ABS(_xlpm.x-_xlpm.y),
IF(_xlpm.d=0,"green",IF(_xlpm.d=1,"orange",IF(_xlpm.d=2,"red","check")))
)</f>
        <v>green</v>
      </c>
      <c r="DZ69" s="1" t="str">
        <f t="array" ref="DZ69">_xlfn.LET(
_xlpm.a,LOWER(TRIM(DS69&amp;"")),
_xlpm.b,LOWER(TRIM(DT69&amp;"")),
_xlpm.x,_xlfn.IFS(_xlpm.a="0",0,_xlpm.a="none",0,_xlpm.a="moderate",1,_xlpm.a="strong",2),
_xlpm.y,_xlfn.IFS(_xlpm.b="0",0,_xlpm.b="none",0,_xlpm.b="moderate",1,_xlpm.b="strong",2),
_xlpm.d,ABS(_xlpm.x-_xlpm.y),
IF(_xlpm.d=0,"green",IF(_xlpm.d=1,"orange",IF(_xlpm.d=2,"red","check")))
)</f>
        <v>green</v>
      </c>
      <c r="EA69" s="1" t="str">
        <f t="array" ref="EA69">_xlfn.LET(
_xlpm.a,LOWER(TRIM(DU69&amp;"")),
_xlpm.b,LOWER(TRIM(DV69&amp;"")),
_xlpm.x,_xlfn.IFS(_xlpm.a="0",0,_xlpm.a="none",0,_xlpm.a="moderate",1,_xlpm.a="strong",2),
_xlpm.y,_xlfn.IFS(_xlpm.b="0",0,_xlpm.b="none",0,_xlpm.b="moderate",1,_xlpm.b="strong",2),
_xlpm.d,ABS(_xlpm.x-_xlpm.y),
IF(_xlpm.d=0,"green",IF(_xlpm.d=1,"orange",IF(_xlpm.d=2,"red","check")))
)</f>
        <v>green</v>
      </c>
      <c r="EB69" s="1" t="str">
        <f t="array" ref="EB69">_xlfn.LET(
_xlpm.a,LOWER(TRIM(DW69&amp;"")),
_xlpm.b,LOWER(TRIM(DX69&amp;"")),
_xlpm.x,_xlfn.IFS(_xlpm.a="0",0,_xlpm.a="none",0,_xlpm.a="moderate",1,_xlpm.a="strong",2),
_xlpm.y,_xlfn.IFS(_xlpm.b="0",0,_xlpm.b="none",0,_xlpm.b="moderate",1,_xlpm.b="strong",2),
_xlpm.d,ABS(_xlpm.x-_xlpm.y),
IF(_xlpm.d=0,"green",IF(_xlpm.d=1,"orange",IF(_xlpm.d=2,"red","check")))
)</f>
        <v>green</v>
      </c>
      <c r="EC69"/>
      <c r="ED69"/>
      <c r="EE69"/>
      <c r="EF69"/>
      <c r="EG69"/>
      <c r="EH69"/>
      <c r="EI69"/>
      <c r="EJ69"/>
      <c r="EK69"/>
      <c r="EL69"/>
      <c r="EM69"/>
      <c r="EN69"/>
      <c r="EO69"/>
      <c r="EP69"/>
      <c r="EQ69"/>
      <c r="ER69"/>
      <c r="ES69" s="58" t="str">
        <f t="shared" si="33"/>
        <v/>
      </c>
      <c r="ET69" s="58" t="str">
        <f t="shared" si="34"/>
        <v>No</v>
      </c>
      <c r="EU69" s="59" t="str">
        <f t="shared" ref="EU69:EU105" si="40">IF(AND(DE69&gt;=3,DD69=1),"Positive concordance",IF(AND(DE69&gt;=3,DD69&gt;=2),"Gap",IF(AND(DE69&lt;=2,DD69&gt;=2),"Negative concordance","Uninformative")))</f>
        <v>Uninformative</v>
      </c>
      <c r="EV69" s="59" t="str">
        <f t="shared" ref="EV69:EV105" si="41">IF(AND(DI69&gt;=3,DH69=1),"Positive concordance",IF(AND(DI69&gt;=3,DH69&gt;=2),"Gap",IF(AND(DI69&lt;=2,DH69&gt;=2),"Negative concordance","Uninformative")))</f>
        <v>Uninformative</v>
      </c>
      <c r="EW69" s="59" t="str">
        <f t="shared" si="35"/>
        <v>Uninformative</v>
      </c>
      <c r="EX69" s="58" t="str">
        <f t="shared" si="36"/>
        <v>Uninformative</v>
      </c>
      <c r="EY69" s="58" t="str">
        <f t="shared" si="37"/>
        <v>Uninformative</v>
      </c>
      <c r="EZ69" s="58" t="str">
        <f t="shared" si="38"/>
        <v>Uninformative</v>
      </c>
      <c r="FA69" s="58" t="str">
        <f t="shared" si="39"/>
        <v>No</v>
      </c>
    </row>
    <row r="70" spans="1:157" ht="20" customHeight="1">
      <c r="A70" s="32"/>
      <c r="B70" s="32"/>
      <c r="C70" s="32"/>
      <c r="D70" s="32"/>
      <c r="E70" s="32"/>
      <c r="F70" s="32"/>
      <c r="G70" s="32"/>
      <c r="H70" s="32"/>
      <c r="I70" s="32"/>
      <c r="J70" s="32"/>
      <c r="K70" s="32"/>
      <c r="L70" s="32"/>
      <c r="M70" s="32"/>
      <c r="N70" s="32"/>
      <c r="O70" s="32"/>
      <c r="P70" s="32"/>
      <c r="Q70" s="32"/>
      <c r="R70" s="32"/>
      <c r="S70" s="32"/>
      <c r="T70" s="32"/>
      <c r="U70" s="32"/>
      <c r="V70" s="32"/>
      <c r="W70" s="32"/>
      <c r="X70"/>
      <c r="Y70"/>
      <c r="Z70"/>
      <c r="AA70"/>
      <c r="AB70"/>
      <c r="AC70"/>
      <c r="AD70"/>
      <c r="AE70"/>
      <c r="AG70"/>
      <c r="AH70"/>
      <c r="AI70"/>
      <c r="AJ70"/>
      <c r="AK70"/>
      <c r="AL70"/>
      <c r="AM70"/>
      <c r="AN70"/>
      <c r="AO70"/>
      <c r="AP70"/>
      <c r="AQ70"/>
      <c r="AR70"/>
      <c r="AS70"/>
      <c r="AT70"/>
      <c r="AU70"/>
      <c r="AV70"/>
      <c r="AW70"/>
      <c r="AX70"/>
      <c r="AY70"/>
      <c r="AZ70"/>
      <c r="BA70"/>
      <c r="BB70"/>
      <c r="BC70"/>
      <c r="BD70"/>
      <c r="BE70"/>
      <c r="BF70"/>
      <c r="BG70"/>
      <c r="BH70"/>
      <c r="BI70"/>
      <c r="BJ70"/>
      <c r="BK70"/>
      <c r="BL70"/>
      <c r="BQ70"/>
      <c r="BR70"/>
      <c r="BS70"/>
      <c r="BT70"/>
      <c r="BU70"/>
      <c r="BV70"/>
      <c r="BW70"/>
      <c r="BX70"/>
      <c r="BY70"/>
      <c r="BZ70"/>
      <c r="CB70"/>
      <c r="CC70"/>
      <c r="CD70"/>
      <c r="CF70"/>
      <c r="CG70"/>
      <c r="CH70"/>
      <c r="CJ70"/>
      <c r="CK70"/>
      <c r="CL70"/>
      <c r="CM70"/>
      <c r="CN70"/>
      <c r="CP70"/>
      <c r="CQ70"/>
      <c r="CR70"/>
      <c r="CS70"/>
      <c r="CT70"/>
      <c r="CU70"/>
      <c r="CV70"/>
      <c r="CW70"/>
      <c r="CX70"/>
      <c r="CY70"/>
      <c r="CZ70"/>
      <c r="DA70"/>
      <c r="DB70"/>
      <c r="DC70"/>
      <c r="DD70"/>
      <c r="DE70"/>
      <c r="DF70"/>
      <c r="DG70"/>
      <c r="DH70"/>
      <c r="DI70"/>
      <c r="DJ70"/>
      <c r="DK70"/>
      <c r="DL70"/>
      <c r="DM70"/>
      <c r="DN70"/>
      <c r="DO70"/>
      <c r="DP70"/>
      <c r="DQ70" s="1">
        <f t="shared" si="25"/>
        <v>0</v>
      </c>
      <c r="DR70" s="1">
        <f t="shared" si="26"/>
        <v>0</v>
      </c>
      <c r="DS70" s="1">
        <f t="shared" si="27"/>
        <v>0</v>
      </c>
      <c r="DT70" s="1">
        <f t="shared" si="28"/>
        <v>0</v>
      </c>
      <c r="DU70" s="1">
        <f t="shared" si="29"/>
        <v>0</v>
      </c>
      <c r="DV70" s="1">
        <f t="shared" si="30"/>
        <v>0</v>
      </c>
      <c r="DW70" s="1">
        <f t="shared" si="31"/>
        <v>0</v>
      </c>
      <c r="DX70" s="1">
        <f t="shared" si="32"/>
        <v>0</v>
      </c>
      <c r="DY70" s="1" t="str">
        <f t="array" ref="DY70">_xlfn.LET(
_xlpm.a,LOWER(TRIM(DQ70&amp;"")),
_xlpm.b,LOWER(TRIM(DR70&amp;"")),
_xlpm.x,_xlfn.IFS(_xlpm.a="0",0,_xlpm.a="none",0,_xlpm.a="moderate",1,_xlpm.a="strong",2),
_xlpm.y,_xlfn.IFS(_xlpm.b="0",0,_xlpm.b="none",0,_xlpm.b="moderate",1,_xlpm.b="strong",2),
_xlpm.d,ABS(_xlpm.x-_xlpm.y),
IF(_xlpm.d=0,"green",IF(_xlpm.d=1,"orange",IF(_xlpm.d=2,"red","check")))
)</f>
        <v>green</v>
      </c>
      <c r="DZ70" s="1" t="str">
        <f t="array" ref="DZ70">_xlfn.LET(
_xlpm.a,LOWER(TRIM(DS70&amp;"")),
_xlpm.b,LOWER(TRIM(DT70&amp;"")),
_xlpm.x,_xlfn.IFS(_xlpm.a="0",0,_xlpm.a="none",0,_xlpm.a="moderate",1,_xlpm.a="strong",2),
_xlpm.y,_xlfn.IFS(_xlpm.b="0",0,_xlpm.b="none",0,_xlpm.b="moderate",1,_xlpm.b="strong",2),
_xlpm.d,ABS(_xlpm.x-_xlpm.y),
IF(_xlpm.d=0,"green",IF(_xlpm.d=1,"orange",IF(_xlpm.d=2,"red","check")))
)</f>
        <v>green</v>
      </c>
      <c r="EA70" s="1" t="str">
        <f t="array" ref="EA70">_xlfn.LET(
_xlpm.a,LOWER(TRIM(DU70&amp;"")),
_xlpm.b,LOWER(TRIM(DV70&amp;"")),
_xlpm.x,_xlfn.IFS(_xlpm.a="0",0,_xlpm.a="none",0,_xlpm.a="moderate",1,_xlpm.a="strong",2),
_xlpm.y,_xlfn.IFS(_xlpm.b="0",0,_xlpm.b="none",0,_xlpm.b="moderate",1,_xlpm.b="strong",2),
_xlpm.d,ABS(_xlpm.x-_xlpm.y),
IF(_xlpm.d=0,"green",IF(_xlpm.d=1,"orange",IF(_xlpm.d=2,"red","check")))
)</f>
        <v>green</v>
      </c>
      <c r="EB70" s="1" t="str">
        <f t="array" ref="EB70">_xlfn.LET(
_xlpm.a,LOWER(TRIM(DW70&amp;"")),
_xlpm.b,LOWER(TRIM(DX70&amp;"")),
_xlpm.x,_xlfn.IFS(_xlpm.a="0",0,_xlpm.a="none",0,_xlpm.a="moderate",1,_xlpm.a="strong",2),
_xlpm.y,_xlfn.IFS(_xlpm.b="0",0,_xlpm.b="none",0,_xlpm.b="moderate",1,_xlpm.b="strong",2),
_xlpm.d,ABS(_xlpm.x-_xlpm.y),
IF(_xlpm.d=0,"green",IF(_xlpm.d=1,"orange",IF(_xlpm.d=2,"red","check")))
)</f>
        <v>green</v>
      </c>
      <c r="EC70"/>
      <c r="ED70"/>
      <c r="EE70"/>
      <c r="EF70"/>
      <c r="EG70"/>
      <c r="EH70"/>
      <c r="EI70"/>
      <c r="EJ70"/>
      <c r="EK70"/>
      <c r="EL70"/>
      <c r="EM70"/>
      <c r="EN70"/>
      <c r="EO70"/>
      <c r="EP70"/>
      <c r="EQ70"/>
      <c r="ER70"/>
      <c r="ES70" s="58" t="str">
        <f t="shared" si="33"/>
        <v/>
      </c>
      <c r="ET70" s="58" t="str">
        <f t="shared" si="34"/>
        <v>No</v>
      </c>
      <c r="EU70" s="59" t="str">
        <f t="shared" si="40"/>
        <v>Uninformative</v>
      </c>
      <c r="EV70" s="59" t="str">
        <f t="shared" si="41"/>
        <v>Uninformative</v>
      </c>
      <c r="EW70" s="59" t="str">
        <f t="shared" si="35"/>
        <v>Uninformative</v>
      </c>
      <c r="EX70" s="58" t="str">
        <f t="shared" si="36"/>
        <v>Uninformative</v>
      </c>
      <c r="EY70" s="58" t="str">
        <f t="shared" si="37"/>
        <v>Uninformative</v>
      </c>
      <c r="EZ70" s="58" t="str">
        <f t="shared" si="38"/>
        <v>Uninformative</v>
      </c>
      <c r="FA70" s="58" t="str">
        <f t="shared" si="39"/>
        <v>No</v>
      </c>
    </row>
    <row r="71" spans="1:157" ht="20" customHeight="1">
      <c r="A71" s="32"/>
      <c r="B71" s="32"/>
      <c r="C71" s="32"/>
      <c r="D71" s="32"/>
      <c r="E71" s="32"/>
      <c r="F71" s="32"/>
      <c r="G71" s="32"/>
      <c r="H71" s="32"/>
      <c r="I71" s="32"/>
      <c r="J71" s="32"/>
      <c r="K71" s="32"/>
      <c r="L71" s="32"/>
      <c r="M71" s="32"/>
      <c r="N71" s="32"/>
      <c r="O71" s="32"/>
      <c r="P71" s="32"/>
      <c r="Q71" s="32"/>
      <c r="R71" s="32"/>
      <c r="S71" s="32"/>
      <c r="T71" s="32"/>
      <c r="U71" s="32"/>
      <c r="V71" s="32"/>
      <c r="W71" s="32"/>
      <c r="X71"/>
      <c r="Y71"/>
      <c r="Z71"/>
      <c r="AA71"/>
      <c r="AB71"/>
      <c r="AC71"/>
      <c r="AD71"/>
      <c r="AE71"/>
      <c r="AG71"/>
      <c r="AH71"/>
      <c r="AI71"/>
      <c r="AJ71"/>
      <c r="AK71"/>
      <c r="AL71"/>
      <c r="CZ71"/>
      <c r="DA71"/>
      <c r="DB71"/>
      <c r="DC71"/>
      <c r="DD71"/>
      <c r="DE71"/>
      <c r="DF71"/>
      <c r="DG71"/>
      <c r="DH71"/>
      <c r="DI71"/>
      <c r="DJ71"/>
      <c r="DK71"/>
      <c r="DL71"/>
      <c r="DM71"/>
      <c r="DN71"/>
      <c r="DO71"/>
      <c r="DP71"/>
      <c r="DQ71" s="1">
        <f t="shared" si="25"/>
        <v>0</v>
      </c>
      <c r="DR71" s="1">
        <f t="shared" si="26"/>
        <v>0</v>
      </c>
      <c r="DS71" s="1">
        <f t="shared" si="27"/>
        <v>0</v>
      </c>
      <c r="DT71" s="1">
        <f t="shared" si="28"/>
        <v>0</v>
      </c>
      <c r="DU71" s="1">
        <f t="shared" si="29"/>
        <v>0</v>
      </c>
      <c r="DV71" s="1">
        <f t="shared" si="30"/>
        <v>0</v>
      </c>
      <c r="DW71" s="1">
        <f t="shared" si="31"/>
        <v>0</v>
      </c>
      <c r="DX71" s="1">
        <f t="shared" si="32"/>
        <v>0</v>
      </c>
      <c r="DY71" s="1" t="str">
        <f t="array" ref="DY71">_xlfn.LET(
_xlpm.a,LOWER(TRIM(DQ71&amp;"")),
_xlpm.b,LOWER(TRIM(DR71&amp;"")),
_xlpm.x,_xlfn.IFS(_xlpm.a="0",0,_xlpm.a="none",0,_xlpm.a="moderate",1,_xlpm.a="strong",2),
_xlpm.y,_xlfn.IFS(_xlpm.b="0",0,_xlpm.b="none",0,_xlpm.b="moderate",1,_xlpm.b="strong",2),
_xlpm.d,ABS(_xlpm.x-_xlpm.y),
IF(_xlpm.d=0,"green",IF(_xlpm.d=1,"orange",IF(_xlpm.d=2,"red","check")))
)</f>
        <v>green</v>
      </c>
      <c r="DZ71" s="1" t="str">
        <f t="array" ref="DZ71">_xlfn.LET(
_xlpm.a,LOWER(TRIM(DS71&amp;"")),
_xlpm.b,LOWER(TRIM(DT71&amp;"")),
_xlpm.x,_xlfn.IFS(_xlpm.a="0",0,_xlpm.a="none",0,_xlpm.a="moderate",1,_xlpm.a="strong",2),
_xlpm.y,_xlfn.IFS(_xlpm.b="0",0,_xlpm.b="none",0,_xlpm.b="moderate",1,_xlpm.b="strong",2),
_xlpm.d,ABS(_xlpm.x-_xlpm.y),
IF(_xlpm.d=0,"green",IF(_xlpm.d=1,"orange",IF(_xlpm.d=2,"red","check")))
)</f>
        <v>green</v>
      </c>
      <c r="EA71" s="1" t="str">
        <f t="array" ref="EA71">_xlfn.LET(
_xlpm.a,LOWER(TRIM(DU71&amp;"")),
_xlpm.b,LOWER(TRIM(DV71&amp;"")),
_xlpm.x,_xlfn.IFS(_xlpm.a="0",0,_xlpm.a="none",0,_xlpm.a="moderate",1,_xlpm.a="strong",2),
_xlpm.y,_xlfn.IFS(_xlpm.b="0",0,_xlpm.b="none",0,_xlpm.b="moderate",1,_xlpm.b="strong",2),
_xlpm.d,ABS(_xlpm.x-_xlpm.y),
IF(_xlpm.d=0,"green",IF(_xlpm.d=1,"orange",IF(_xlpm.d=2,"red","check")))
)</f>
        <v>green</v>
      </c>
      <c r="EB71" s="1" t="str">
        <f t="array" ref="EB71">_xlfn.LET(
_xlpm.a,LOWER(TRIM(DW71&amp;"")),
_xlpm.b,LOWER(TRIM(DX71&amp;"")),
_xlpm.x,_xlfn.IFS(_xlpm.a="0",0,_xlpm.a="none",0,_xlpm.a="moderate",1,_xlpm.a="strong",2),
_xlpm.y,_xlfn.IFS(_xlpm.b="0",0,_xlpm.b="none",0,_xlpm.b="moderate",1,_xlpm.b="strong",2),
_xlpm.d,ABS(_xlpm.x-_xlpm.y),
IF(_xlpm.d=0,"green",IF(_xlpm.d=1,"orange",IF(_xlpm.d=2,"red","check")))
)</f>
        <v>green</v>
      </c>
      <c r="EC71"/>
      <c r="ED71"/>
      <c r="EE71"/>
      <c r="EF71"/>
      <c r="EG71"/>
      <c r="EH71"/>
      <c r="EI71"/>
      <c r="EJ71"/>
      <c r="EK71"/>
      <c r="EL71"/>
      <c r="EM71"/>
      <c r="EN71"/>
      <c r="EO71"/>
      <c r="EP71"/>
      <c r="EQ71"/>
      <c r="ER71"/>
      <c r="ES71" s="58" t="str">
        <f t="shared" si="33"/>
        <v/>
      </c>
      <c r="ET71" s="58" t="str">
        <f t="shared" si="34"/>
        <v>No</v>
      </c>
      <c r="EU71" s="59" t="str">
        <f t="shared" si="40"/>
        <v>Uninformative</v>
      </c>
      <c r="EV71" s="59" t="str">
        <f t="shared" si="41"/>
        <v>Uninformative</v>
      </c>
      <c r="EW71" s="59" t="str">
        <f t="shared" si="35"/>
        <v>Uninformative</v>
      </c>
      <c r="EX71" s="58" t="str">
        <f t="shared" si="36"/>
        <v>Uninformative</v>
      </c>
      <c r="EY71" s="58" t="str">
        <f t="shared" si="37"/>
        <v>Uninformative</v>
      </c>
      <c r="EZ71" s="58" t="str">
        <f t="shared" si="38"/>
        <v>Uninformative</v>
      </c>
      <c r="FA71" s="58" t="str">
        <f t="shared" si="39"/>
        <v>No</v>
      </c>
    </row>
    <row r="72" spans="1:157" ht="20" customHeight="1">
      <c r="A72" s="32"/>
      <c r="B72" s="32"/>
      <c r="C72" s="32"/>
      <c r="D72" s="32"/>
      <c r="E72" s="32"/>
      <c r="F72" s="32"/>
      <c r="G72" s="32"/>
      <c r="H72" s="32"/>
      <c r="I72" s="32"/>
      <c r="J72" s="32"/>
      <c r="K72" s="32"/>
      <c r="L72" s="32"/>
      <c r="M72" s="32"/>
      <c r="N72" s="32"/>
      <c r="O72" s="32"/>
      <c r="P72" s="32"/>
      <c r="Q72" s="32"/>
      <c r="R72" s="32"/>
      <c r="S72" s="32"/>
      <c r="T72" s="32"/>
      <c r="U72" s="32"/>
      <c r="V72" s="32"/>
      <c r="W72" s="32"/>
      <c r="X72"/>
      <c r="Y72"/>
      <c r="Z72"/>
      <c r="AA72"/>
      <c r="AB72"/>
      <c r="AC72"/>
      <c r="AD72"/>
      <c r="AE72"/>
      <c r="AG72"/>
      <c r="AH72"/>
      <c r="AI72"/>
      <c r="AJ72"/>
      <c r="AK72"/>
      <c r="AL72"/>
      <c r="AM72"/>
      <c r="AN72"/>
      <c r="AO72"/>
      <c r="AP72"/>
      <c r="AQ72"/>
      <c r="AR72"/>
      <c r="AS72"/>
      <c r="AT72"/>
      <c r="AU72"/>
      <c r="AV72"/>
      <c r="AW72"/>
      <c r="AX72"/>
      <c r="AY72"/>
      <c r="AZ72"/>
      <c r="BU72"/>
      <c r="BV72"/>
      <c r="BW72"/>
      <c r="BX72"/>
      <c r="BY72"/>
      <c r="BZ72"/>
      <c r="CB72"/>
      <c r="CC72"/>
      <c r="CD72"/>
      <c r="CF72"/>
      <c r="CG72"/>
      <c r="CH72"/>
      <c r="CJ72"/>
      <c r="CK72"/>
      <c r="CQ72"/>
      <c r="CR72"/>
      <c r="CS72"/>
      <c r="CT72"/>
      <c r="CU72"/>
      <c r="CV72"/>
      <c r="CW72"/>
      <c r="CX72"/>
      <c r="CY72"/>
      <c r="CZ72"/>
      <c r="DA72"/>
      <c r="DB72"/>
      <c r="DC72"/>
      <c r="DD72"/>
      <c r="DE72"/>
      <c r="DF72"/>
      <c r="DG72"/>
      <c r="DH72"/>
      <c r="DI72"/>
      <c r="DJ72"/>
      <c r="DK72"/>
      <c r="DL72"/>
      <c r="DM72"/>
      <c r="DN72"/>
      <c r="DO72"/>
      <c r="DP72"/>
      <c r="DQ72" s="1">
        <f t="shared" si="25"/>
        <v>0</v>
      </c>
      <c r="DR72" s="1">
        <f t="shared" si="26"/>
        <v>0</v>
      </c>
      <c r="DS72" s="1">
        <f t="shared" si="27"/>
        <v>0</v>
      </c>
      <c r="DT72" s="1">
        <f t="shared" si="28"/>
        <v>0</v>
      </c>
      <c r="DU72" s="1">
        <f t="shared" si="29"/>
        <v>0</v>
      </c>
      <c r="DV72" s="1">
        <f t="shared" si="30"/>
        <v>0</v>
      </c>
      <c r="DW72" s="1">
        <f t="shared" si="31"/>
        <v>0</v>
      </c>
      <c r="DX72" s="1">
        <f t="shared" si="32"/>
        <v>0</v>
      </c>
      <c r="DY72" s="1" t="str">
        <f t="array" ref="DY72">_xlfn.LET(
_xlpm.a,LOWER(TRIM(DQ72&amp;"")),
_xlpm.b,LOWER(TRIM(DR72&amp;"")),
_xlpm.x,_xlfn.IFS(_xlpm.a="0",0,_xlpm.a="none",0,_xlpm.a="moderate",1,_xlpm.a="strong",2),
_xlpm.y,_xlfn.IFS(_xlpm.b="0",0,_xlpm.b="none",0,_xlpm.b="moderate",1,_xlpm.b="strong",2),
_xlpm.d,ABS(_xlpm.x-_xlpm.y),
IF(_xlpm.d=0,"green",IF(_xlpm.d=1,"orange",IF(_xlpm.d=2,"red","check")))
)</f>
        <v>green</v>
      </c>
      <c r="DZ72" s="1" t="str">
        <f t="array" ref="DZ72">_xlfn.LET(
_xlpm.a,LOWER(TRIM(DS72&amp;"")),
_xlpm.b,LOWER(TRIM(DT72&amp;"")),
_xlpm.x,_xlfn.IFS(_xlpm.a="0",0,_xlpm.a="none",0,_xlpm.a="moderate",1,_xlpm.a="strong",2),
_xlpm.y,_xlfn.IFS(_xlpm.b="0",0,_xlpm.b="none",0,_xlpm.b="moderate",1,_xlpm.b="strong",2),
_xlpm.d,ABS(_xlpm.x-_xlpm.y),
IF(_xlpm.d=0,"green",IF(_xlpm.d=1,"orange",IF(_xlpm.d=2,"red","check")))
)</f>
        <v>green</v>
      </c>
      <c r="EA72" s="1" t="str">
        <f t="array" ref="EA72">_xlfn.LET(
_xlpm.a,LOWER(TRIM(DU72&amp;"")),
_xlpm.b,LOWER(TRIM(DV72&amp;"")),
_xlpm.x,_xlfn.IFS(_xlpm.a="0",0,_xlpm.a="none",0,_xlpm.a="moderate",1,_xlpm.a="strong",2),
_xlpm.y,_xlfn.IFS(_xlpm.b="0",0,_xlpm.b="none",0,_xlpm.b="moderate",1,_xlpm.b="strong",2),
_xlpm.d,ABS(_xlpm.x-_xlpm.y),
IF(_xlpm.d=0,"green",IF(_xlpm.d=1,"orange",IF(_xlpm.d=2,"red","check")))
)</f>
        <v>green</v>
      </c>
      <c r="EB72" s="1" t="str">
        <f t="array" ref="EB72">_xlfn.LET(
_xlpm.a,LOWER(TRIM(DW72&amp;"")),
_xlpm.b,LOWER(TRIM(DX72&amp;"")),
_xlpm.x,_xlfn.IFS(_xlpm.a="0",0,_xlpm.a="none",0,_xlpm.a="moderate",1,_xlpm.a="strong",2),
_xlpm.y,_xlfn.IFS(_xlpm.b="0",0,_xlpm.b="none",0,_xlpm.b="moderate",1,_xlpm.b="strong",2),
_xlpm.d,ABS(_xlpm.x-_xlpm.y),
IF(_xlpm.d=0,"green",IF(_xlpm.d=1,"orange",IF(_xlpm.d=2,"red","check")))
)</f>
        <v>green</v>
      </c>
      <c r="EC72"/>
      <c r="ED72"/>
      <c r="EE72"/>
      <c r="EF72"/>
      <c r="EG72"/>
      <c r="EH72"/>
      <c r="EI72"/>
      <c r="EJ72"/>
      <c r="EK72"/>
      <c r="EL72"/>
      <c r="EM72"/>
      <c r="EN72"/>
      <c r="EO72"/>
      <c r="EP72"/>
      <c r="EQ72"/>
      <c r="ER72"/>
      <c r="ES72" s="58" t="str">
        <f t="shared" si="33"/>
        <v/>
      </c>
      <c r="ET72" s="58" t="str">
        <f t="shared" si="34"/>
        <v>No</v>
      </c>
      <c r="EU72" s="59" t="str">
        <f t="shared" si="40"/>
        <v>Uninformative</v>
      </c>
      <c r="EV72" s="59" t="str">
        <f t="shared" si="41"/>
        <v>Uninformative</v>
      </c>
      <c r="EW72" s="59" t="str">
        <f t="shared" si="35"/>
        <v>Uninformative</v>
      </c>
      <c r="EX72" s="58" t="str">
        <f t="shared" si="36"/>
        <v>Uninformative</v>
      </c>
      <c r="EY72" s="58" t="str">
        <f t="shared" si="37"/>
        <v>Uninformative</v>
      </c>
      <c r="EZ72" s="58" t="str">
        <f t="shared" si="38"/>
        <v>Uninformative</v>
      </c>
      <c r="FA72" s="58" t="str">
        <f t="shared" si="39"/>
        <v>No</v>
      </c>
    </row>
    <row r="73" spans="1:157" ht="20" customHeight="1">
      <c r="A73" s="32"/>
      <c r="B73" s="32"/>
      <c r="C73" s="32"/>
      <c r="D73" s="32"/>
      <c r="E73" s="32"/>
      <c r="F73" s="32"/>
      <c r="G73" s="32"/>
      <c r="H73" s="32"/>
      <c r="I73" s="32"/>
      <c r="J73" s="32"/>
      <c r="K73" s="32"/>
      <c r="L73" s="32"/>
      <c r="M73" s="32"/>
      <c r="N73" s="32"/>
      <c r="O73" s="32"/>
      <c r="P73" s="32"/>
      <c r="Q73" s="32"/>
      <c r="R73" s="32"/>
      <c r="S73" s="32"/>
      <c r="T73" s="32"/>
      <c r="U73" s="32"/>
      <c r="V73" s="32"/>
      <c r="W73" s="32"/>
      <c r="X73"/>
      <c r="Y73"/>
      <c r="Z73"/>
      <c r="AA73"/>
      <c r="AB73"/>
      <c r="AC73"/>
      <c r="AD73"/>
      <c r="AE73"/>
      <c r="AG73"/>
      <c r="AH73"/>
      <c r="AI73"/>
      <c r="AJ73"/>
      <c r="AK73"/>
      <c r="AL73"/>
      <c r="AM73"/>
      <c r="AN73"/>
      <c r="AO73"/>
      <c r="AP73"/>
      <c r="AQ73"/>
      <c r="AR73"/>
      <c r="AS73"/>
      <c r="AT73"/>
      <c r="AU73"/>
      <c r="AV73"/>
      <c r="AW73"/>
      <c r="AX73"/>
      <c r="AY73"/>
      <c r="AZ73"/>
      <c r="BA73"/>
      <c r="BB73"/>
      <c r="BC73"/>
      <c r="BD73"/>
      <c r="BE73"/>
      <c r="BF73"/>
      <c r="BG73"/>
      <c r="BH73"/>
      <c r="BI73"/>
      <c r="BJ73"/>
      <c r="BK73"/>
      <c r="BL73"/>
      <c r="BQ73"/>
      <c r="BR73"/>
      <c r="BS73"/>
      <c r="BT73"/>
      <c r="BU73"/>
      <c r="BV73"/>
      <c r="BW73"/>
      <c r="BX73"/>
      <c r="BY73"/>
      <c r="BZ73"/>
      <c r="CB73"/>
      <c r="CC73"/>
      <c r="CD73"/>
      <c r="CF73"/>
      <c r="CG73"/>
      <c r="CH73"/>
      <c r="CJ73"/>
      <c r="CK73"/>
      <c r="CL73"/>
      <c r="CM73"/>
      <c r="CN73"/>
      <c r="CP73"/>
      <c r="CQ73"/>
      <c r="CR73"/>
      <c r="CS73"/>
      <c r="CT73"/>
      <c r="CU73"/>
      <c r="CV73"/>
      <c r="CW73"/>
      <c r="CX73"/>
      <c r="CY73"/>
      <c r="CZ73"/>
      <c r="DA73"/>
      <c r="DB73"/>
      <c r="DC73"/>
      <c r="DD73"/>
      <c r="DE73"/>
      <c r="DF73"/>
      <c r="DG73"/>
      <c r="DH73"/>
      <c r="DI73"/>
      <c r="DJ73"/>
      <c r="DK73"/>
      <c r="DL73"/>
      <c r="DM73"/>
      <c r="DN73"/>
      <c r="DO73"/>
      <c r="DP73"/>
      <c r="DQ73" s="1">
        <f t="shared" si="25"/>
        <v>0</v>
      </c>
      <c r="DR73" s="1">
        <f t="shared" si="26"/>
        <v>0</v>
      </c>
      <c r="DS73" s="1">
        <f t="shared" si="27"/>
        <v>0</v>
      </c>
      <c r="DT73" s="1">
        <f t="shared" si="28"/>
        <v>0</v>
      </c>
      <c r="DU73" s="1">
        <f t="shared" si="29"/>
        <v>0</v>
      </c>
      <c r="DV73" s="1">
        <f t="shared" si="30"/>
        <v>0</v>
      </c>
      <c r="DW73" s="1">
        <f t="shared" si="31"/>
        <v>0</v>
      </c>
      <c r="DX73" s="1">
        <f t="shared" si="32"/>
        <v>0</v>
      </c>
      <c r="DY73" s="1" t="str">
        <f t="array" ref="DY73">_xlfn.LET(
_xlpm.a,LOWER(TRIM(DQ73&amp;"")),
_xlpm.b,LOWER(TRIM(DR73&amp;"")),
_xlpm.x,_xlfn.IFS(_xlpm.a="0",0,_xlpm.a="none",0,_xlpm.a="moderate",1,_xlpm.a="strong",2),
_xlpm.y,_xlfn.IFS(_xlpm.b="0",0,_xlpm.b="none",0,_xlpm.b="moderate",1,_xlpm.b="strong",2),
_xlpm.d,ABS(_xlpm.x-_xlpm.y),
IF(_xlpm.d=0,"green",IF(_xlpm.d=1,"orange",IF(_xlpm.d=2,"red","check")))
)</f>
        <v>green</v>
      </c>
      <c r="DZ73" s="1" t="str">
        <f t="array" ref="DZ73">_xlfn.LET(
_xlpm.a,LOWER(TRIM(DS73&amp;"")),
_xlpm.b,LOWER(TRIM(DT73&amp;"")),
_xlpm.x,_xlfn.IFS(_xlpm.a="0",0,_xlpm.a="none",0,_xlpm.a="moderate",1,_xlpm.a="strong",2),
_xlpm.y,_xlfn.IFS(_xlpm.b="0",0,_xlpm.b="none",0,_xlpm.b="moderate",1,_xlpm.b="strong",2),
_xlpm.d,ABS(_xlpm.x-_xlpm.y),
IF(_xlpm.d=0,"green",IF(_xlpm.d=1,"orange",IF(_xlpm.d=2,"red","check")))
)</f>
        <v>green</v>
      </c>
      <c r="EA73" s="1" t="str">
        <f t="array" ref="EA73">_xlfn.LET(
_xlpm.a,LOWER(TRIM(DU73&amp;"")),
_xlpm.b,LOWER(TRIM(DV73&amp;"")),
_xlpm.x,_xlfn.IFS(_xlpm.a="0",0,_xlpm.a="none",0,_xlpm.a="moderate",1,_xlpm.a="strong",2),
_xlpm.y,_xlfn.IFS(_xlpm.b="0",0,_xlpm.b="none",0,_xlpm.b="moderate",1,_xlpm.b="strong",2),
_xlpm.d,ABS(_xlpm.x-_xlpm.y),
IF(_xlpm.d=0,"green",IF(_xlpm.d=1,"orange",IF(_xlpm.d=2,"red","check")))
)</f>
        <v>green</v>
      </c>
      <c r="EB73" s="1" t="str">
        <f t="array" ref="EB73">_xlfn.LET(
_xlpm.a,LOWER(TRIM(DW73&amp;"")),
_xlpm.b,LOWER(TRIM(DX73&amp;"")),
_xlpm.x,_xlfn.IFS(_xlpm.a="0",0,_xlpm.a="none",0,_xlpm.a="moderate",1,_xlpm.a="strong",2),
_xlpm.y,_xlfn.IFS(_xlpm.b="0",0,_xlpm.b="none",0,_xlpm.b="moderate",1,_xlpm.b="strong",2),
_xlpm.d,ABS(_xlpm.x-_xlpm.y),
IF(_xlpm.d=0,"green",IF(_xlpm.d=1,"orange",IF(_xlpm.d=2,"red","check")))
)</f>
        <v>green</v>
      </c>
      <c r="EC73"/>
      <c r="ED73"/>
      <c r="EE73"/>
      <c r="EF73"/>
      <c r="EG73"/>
      <c r="EH73"/>
      <c r="EI73"/>
      <c r="EJ73"/>
      <c r="EK73"/>
      <c r="EL73"/>
      <c r="EM73"/>
      <c r="EN73"/>
      <c r="EO73"/>
      <c r="EP73"/>
      <c r="EQ73"/>
      <c r="ER73"/>
      <c r="ES73" s="58" t="str">
        <f t="shared" si="33"/>
        <v/>
      </c>
      <c r="ET73" s="58" t="str">
        <f t="shared" si="34"/>
        <v>No</v>
      </c>
      <c r="EU73" s="59" t="str">
        <f t="shared" si="40"/>
        <v>Uninformative</v>
      </c>
      <c r="EV73" s="59" t="str">
        <f t="shared" si="41"/>
        <v>Uninformative</v>
      </c>
      <c r="EW73" s="59" t="str">
        <f t="shared" si="35"/>
        <v>Uninformative</v>
      </c>
      <c r="EX73" s="58" t="str">
        <f t="shared" si="36"/>
        <v>Uninformative</v>
      </c>
      <c r="EY73" s="58" t="str">
        <f t="shared" si="37"/>
        <v>Uninformative</v>
      </c>
      <c r="EZ73" s="58" t="str">
        <f t="shared" si="38"/>
        <v>Uninformative</v>
      </c>
      <c r="FA73" s="58" t="str">
        <f t="shared" si="39"/>
        <v>No</v>
      </c>
    </row>
    <row r="74" spans="1:157" ht="20" customHeight="1">
      <c r="A74" s="32"/>
      <c r="B74" s="32"/>
      <c r="C74" s="32"/>
      <c r="D74" s="32"/>
      <c r="E74" s="32"/>
      <c r="F74" s="32"/>
      <c r="G74" s="32"/>
      <c r="H74" s="32"/>
      <c r="I74" s="32"/>
      <c r="J74" s="32"/>
      <c r="K74" s="32"/>
      <c r="L74" s="32"/>
      <c r="M74" s="32"/>
      <c r="N74" s="32"/>
      <c r="O74" s="32"/>
      <c r="P74" s="32"/>
      <c r="Q74" s="32"/>
      <c r="R74" s="32"/>
      <c r="S74" s="32"/>
      <c r="T74" s="32"/>
      <c r="U74" s="32"/>
      <c r="V74" s="32"/>
      <c r="W74" s="32"/>
      <c r="X74"/>
      <c r="Y74"/>
      <c r="Z74"/>
      <c r="AA74"/>
      <c r="AB74"/>
      <c r="AC74"/>
      <c r="AD74"/>
      <c r="AE74"/>
      <c r="AG74"/>
      <c r="AH74"/>
      <c r="AI74"/>
      <c r="AJ74"/>
      <c r="AK74"/>
      <c r="AL74"/>
      <c r="CZ74"/>
      <c r="DA74"/>
      <c r="DB74"/>
      <c r="DC74"/>
      <c r="DD74"/>
      <c r="DE74"/>
      <c r="DF74"/>
      <c r="DG74"/>
      <c r="DH74"/>
      <c r="DI74"/>
      <c r="DJ74"/>
      <c r="DK74"/>
      <c r="DL74"/>
      <c r="DM74"/>
      <c r="DN74"/>
      <c r="DO74"/>
      <c r="DP74"/>
      <c r="DQ74" s="1">
        <f t="shared" si="25"/>
        <v>0</v>
      </c>
      <c r="DR74" s="1">
        <f t="shared" si="26"/>
        <v>0</v>
      </c>
      <c r="DS74" s="1">
        <f t="shared" si="27"/>
        <v>0</v>
      </c>
      <c r="DT74" s="1">
        <f t="shared" si="28"/>
        <v>0</v>
      </c>
      <c r="DU74" s="1">
        <f t="shared" si="29"/>
        <v>0</v>
      </c>
      <c r="DV74" s="1">
        <f t="shared" si="30"/>
        <v>0</v>
      </c>
      <c r="DW74" s="1">
        <f t="shared" si="31"/>
        <v>0</v>
      </c>
      <c r="DX74" s="1">
        <f t="shared" si="32"/>
        <v>0</v>
      </c>
      <c r="DY74" s="1" t="str">
        <f t="array" ref="DY74">_xlfn.LET(
_xlpm.a,LOWER(TRIM(DQ74&amp;"")),
_xlpm.b,LOWER(TRIM(DR74&amp;"")),
_xlpm.x,_xlfn.IFS(_xlpm.a="0",0,_xlpm.a="none",0,_xlpm.a="moderate",1,_xlpm.a="strong",2),
_xlpm.y,_xlfn.IFS(_xlpm.b="0",0,_xlpm.b="none",0,_xlpm.b="moderate",1,_xlpm.b="strong",2),
_xlpm.d,ABS(_xlpm.x-_xlpm.y),
IF(_xlpm.d=0,"green",IF(_xlpm.d=1,"orange",IF(_xlpm.d=2,"red","check")))
)</f>
        <v>green</v>
      </c>
      <c r="DZ74" s="1" t="str">
        <f t="array" ref="DZ74">_xlfn.LET(
_xlpm.a,LOWER(TRIM(DS74&amp;"")),
_xlpm.b,LOWER(TRIM(DT74&amp;"")),
_xlpm.x,_xlfn.IFS(_xlpm.a="0",0,_xlpm.a="none",0,_xlpm.a="moderate",1,_xlpm.a="strong",2),
_xlpm.y,_xlfn.IFS(_xlpm.b="0",0,_xlpm.b="none",0,_xlpm.b="moderate",1,_xlpm.b="strong",2),
_xlpm.d,ABS(_xlpm.x-_xlpm.y),
IF(_xlpm.d=0,"green",IF(_xlpm.d=1,"orange",IF(_xlpm.d=2,"red","check")))
)</f>
        <v>green</v>
      </c>
      <c r="EA74" s="1" t="str">
        <f t="array" ref="EA74">_xlfn.LET(
_xlpm.a,LOWER(TRIM(DU74&amp;"")),
_xlpm.b,LOWER(TRIM(DV74&amp;"")),
_xlpm.x,_xlfn.IFS(_xlpm.a="0",0,_xlpm.a="none",0,_xlpm.a="moderate",1,_xlpm.a="strong",2),
_xlpm.y,_xlfn.IFS(_xlpm.b="0",0,_xlpm.b="none",0,_xlpm.b="moderate",1,_xlpm.b="strong",2),
_xlpm.d,ABS(_xlpm.x-_xlpm.y),
IF(_xlpm.d=0,"green",IF(_xlpm.d=1,"orange",IF(_xlpm.d=2,"red","check")))
)</f>
        <v>green</v>
      </c>
      <c r="EB74" s="1" t="str">
        <f t="array" ref="EB74">_xlfn.LET(
_xlpm.a,LOWER(TRIM(DW74&amp;"")),
_xlpm.b,LOWER(TRIM(DX74&amp;"")),
_xlpm.x,_xlfn.IFS(_xlpm.a="0",0,_xlpm.a="none",0,_xlpm.a="moderate",1,_xlpm.a="strong",2),
_xlpm.y,_xlfn.IFS(_xlpm.b="0",0,_xlpm.b="none",0,_xlpm.b="moderate",1,_xlpm.b="strong",2),
_xlpm.d,ABS(_xlpm.x-_xlpm.y),
IF(_xlpm.d=0,"green",IF(_xlpm.d=1,"orange",IF(_xlpm.d=2,"red","check")))
)</f>
        <v>green</v>
      </c>
      <c r="EC74"/>
      <c r="ED74"/>
      <c r="EE74"/>
      <c r="EF74"/>
      <c r="EG74"/>
      <c r="EH74"/>
      <c r="EI74"/>
      <c r="EJ74"/>
      <c r="EK74"/>
      <c r="EL74"/>
      <c r="EM74"/>
      <c r="EN74"/>
      <c r="EO74"/>
      <c r="EP74"/>
      <c r="EQ74"/>
      <c r="ER74"/>
      <c r="ES74" s="58" t="str">
        <f t="shared" si="33"/>
        <v/>
      </c>
      <c r="ET74" s="58" t="str">
        <f t="shared" si="34"/>
        <v>No</v>
      </c>
      <c r="EU74" s="59" t="str">
        <f t="shared" si="40"/>
        <v>Uninformative</v>
      </c>
      <c r="EV74" s="59" t="str">
        <f t="shared" si="41"/>
        <v>Uninformative</v>
      </c>
      <c r="EW74" s="59" t="str">
        <f t="shared" si="35"/>
        <v>Uninformative</v>
      </c>
      <c r="EX74" s="58" t="str">
        <f t="shared" si="36"/>
        <v>Uninformative</v>
      </c>
      <c r="EY74" s="58" t="str">
        <f t="shared" si="37"/>
        <v>Uninformative</v>
      </c>
      <c r="EZ74" s="58" t="str">
        <f t="shared" si="38"/>
        <v>Uninformative</v>
      </c>
      <c r="FA74" s="58" t="str">
        <f t="shared" si="39"/>
        <v>No</v>
      </c>
    </row>
    <row r="75" spans="1:157" ht="20" customHeight="1">
      <c r="A75" s="32"/>
      <c r="B75" s="32"/>
      <c r="C75" s="32"/>
      <c r="D75" s="32"/>
      <c r="E75" s="32"/>
      <c r="F75" s="32"/>
      <c r="G75" s="32"/>
      <c r="H75" s="32"/>
      <c r="I75" s="32"/>
      <c r="J75" s="32"/>
      <c r="K75" s="32"/>
      <c r="L75" s="32"/>
      <c r="M75" s="32"/>
      <c r="N75" s="32"/>
      <c r="O75" s="32"/>
      <c r="P75" s="32"/>
      <c r="Q75" s="32"/>
      <c r="R75" s="32"/>
      <c r="S75" s="32"/>
      <c r="T75" s="32"/>
      <c r="U75" s="32"/>
      <c r="V75" s="32"/>
      <c r="W75" s="32"/>
      <c r="X75"/>
      <c r="Y75"/>
      <c r="Z75"/>
      <c r="AA75"/>
      <c r="AB75"/>
      <c r="AC75"/>
      <c r="AD75"/>
      <c r="AE75"/>
      <c r="AG75"/>
      <c r="AH75"/>
      <c r="AI75"/>
      <c r="AJ75"/>
      <c r="AK75"/>
      <c r="AL75"/>
      <c r="AM75"/>
      <c r="AN75"/>
      <c r="AO75"/>
      <c r="AP75"/>
      <c r="AQ75"/>
      <c r="AR75"/>
      <c r="AS75"/>
      <c r="AT75"/>
      <c r="AU75"/>
      <c r="AV75"/>
      <c r="AW75"/>
      <c r="AX75"/>
      <c r="AY75"/>
      <c r="AZ75"/>
      <c r="BA75"/>
      <c r="BB75"/>
      <c r="BC75"/>
      <c r="BD75"/>
      <c r="BE75"/>
      <c r="BF75"/>
      <c r="BG75"/>
      <c r="BH75"/>
      <c r="BI75"/>
      <c r="BJ75"/>
      <c r="BK75"/>
      <c r="BL75"/>
      <c r="BQ75"/>
      <c r="BR75"/>
      <c r="BS75"/>
      <c r="BT75"/>
      <c r="BU75"/>
      <c r="BV75"/>
      <c r="BW75"/>
      <c r="BX75"/>
      <c r="BY75"/>
      <c r="BZ75"/>
      <c r="CB75"/>
      <c r="CC75"/>
      <c r="CD75"/>
      <c r="CF75"/>
      <c r="CG75"/>
      <c r="CH75"/>
      <c r="CJ75"/>
      <c r="CK75"/>
      <c r="CL75"/>
      <c r="CM75"/>
      <c r="CN75"/>
      <c r="CP75"/>
      <c r="CQ75"/>
      <c r="CR75"/>
      <c r="CS75"/>
      <c r="CT75"/>
      <c r="CU75"/>
      <c r="CV75"/>
      <c r="CW75"/>
      <c r="CX75"/>
      <c r="CY75"/>
      <c r="CZ75"/>
      <c r="DA75"/>
      <c r="DB75"/>
      <c r="DC75"/>
      <c r="DD75"/>
      <c r="DE75"/>
      <c r="DF75"/>
      <c r="DG75"/>
      <c r="DH75"/>
      <c r="DI75"/>
      <c r="DJ75"/>
      <c r="DK75"/>
      <c r="DL75"/>
      <c r="DM75"/>
      <c r="DN75"/>
      <c r="DO75"/>
      <c r="DP75"/>
      <c r="DQ75" s="1">
        <f t="shared" si="25"/>
        <v>0</v>
      </c>
      <c r="DR75" s="1">
        <f t="shared" si="26"/>
        <v>0</v>
      </c>
      <c r="DS75" s="1">
        <f t="shared" si="27"/>
        <v>0</v>
      </c>
      <c r="DT75" s="1">
        <f t="shared" si="28"/>
        <v>0</v>
      </c>
      <c r="DU75" s="1">
        <f t="shared" si="29"/>
        <v>0</v>
      </c>
      <c r="DV75" s="1">
        <f t="shared" si="30"/>
        <v>0</v>
      </c>
      <c r="DW75" s="1">
        <f t="shared" si="31"/>
        <v>0</v>
      </c>
      <c r="DX75" s="1">
        <f t="shared" si="32"/>
        <v>0</v>
      </c>
      <c r="DY75" s="1" t="str">
        <f t="array" ref="DY75">_xlfn.LET(
_xlpm.a,LOWER(TRIM(DQ75&amp;"")),
_xlpm.b,LOWER(TRIM(DR75&amp;"")),
_xlpm.x,_xlfn.IFS(_xlpm.a="0",0,_xlpm.a="none",0,_xlpm.a="moderate",1,_xlpm.a="strong",2),
_xlpm.y,_xlfn.IFS(_xlpm.b="0",0,_xlpm.b="none",0,_xlpm.b="moderate",1,_xlpm.b="strong",2),
_xlpm.d,ABS(_xlpm.x-_xlpm.y),
IF(_xlpm.d=0,"green",IF(_xlpm.d=1,"orange",IF(_xlpm.d=2,"red","check")))
)</f>
        <v>green</v>
      </c>
      <c r="DZ75" s="1" t="str">
        <f t="array" ref="DZ75">_xlfn.LET(
_xlpm.a,LOWER(TRIM(DS75&amp;"")),
_xlpm.b,LOWER(TRIM(DT75&amp;"")),
_xlpm.x,_xlfn.IFS(_xlpm.a="0",0,_xlpm.a="none",0,_xlpm.a="moderate",1,_xlpm.a="strong",2),
_xlpm.y,_xlfn.IFS(_xlpm.b="0",0,_xlpm.b="none",0,_xlpm.b="moderate",1,_xlpm.b="strong",2),
_xlpm.d,ABS(_xlpm.x-_xlpm.y),
IF(_xlpm.d=0,"green",IF(_xlpm.d=1,"orange",IF(_xlpm.d=2,"red","check")))
)</f>
        <v>green</v>
      </c>
      <c r="EA75" s="1" t="str">
        <f t="array" ref="EA75">_xlfn.LET(
_xlpm.a,LOWER(TRIM(DU75&amp;"")),
_xlpm.b,LOWER(TRIM(DV75&amp;"")),
_xlpm.x,_xlfn.IFS(_xlpm.a="0",0,_xlpm.a="none",0,_xlpm.a="moderate",1,_xlpm.a="strong",2),
_xlpm.y,_xlfn.IFS(_xlpm.b="0",0,_xlpm.b="none",0,_xlpm.b="moderate",1,_xlpm.b="strong",2),
_xlpm.d,ABS(_xlpm.x-_xlpm.y),
IF(_xlpm.d=0,"green",IF(_xlpm.d=1,"orange",IF(_xlpm.d=2,"red","check")))
)</f>
        <v>green</v>
      </c>
      <c r="EB75" s="1" t="str">
        <f t="array" ref="EB75">_xlfn.LET(
_xlpm.a,LOWER(TRIM(DW75&amp;"")),
_xlpm.b,LOWER(TRIM(DX75&amp;"")),
_xlpm.x,_xlfn.IFS(_xlpm.a="0",0,_xlpm.a="none",0,_xlpm.a="moderate",1,_xlpm.a="strong",2),
_xlpm.y,_xlfn.IFS(_xlpm.b="0",0,_xlpm.b="none",0,_xlpm.b="moderate",1,_xlpm.b="strong",2),
_xlpm.d,ABS(_xlpm.x-_xlpm.y),
IF(_xlpm.d=0,"green",IF(_xlpm.d=1,"orange",IF(_xlpm.d=2,"red","check")))
)</f>
        <v>green</v>
      </c>
      <c r="EC75"/>
      <c r="ED75"/>
      <c r="EE75"/>
      <c r="EF75"/>
      <c r="EG75"/>
      <c r="EH75"/>
      <c r="EI75"/>
      <c r="EJ75"/>
      <c r="EK75"/>
      <c r="EL75"/>
      <c r="EM75"/>
      <c r="EN75"/>
      <c r="EO75"/>
      <c r="EP75"/>
      <c r="EQ75"/>
      <c r="ER75"/>
      <c r="ES75" s="58" t="str">
        <f t="shared" si="33"/>
        <v/>
      </c>
      <c r="ET75" s="58" t="str">
        <f t="shared" si="34"/>
        <v>No</v>
      </c>
      <c r="EU75" s="59" t="str">
        <f t="shared" si="40"/>
        <v>Uninformative</v>
      </c>
      <c r="EV75" s="59" t="str">
        <f t="shared" si="41"/>
        <v>Uninformative</v>
      </c>
      <c r="EW75" s="59" t="str">
        <f t="shared" si="35"/>
        <v>Uninformative</v>
      </c>
      <c r="EX75" s="58" t="str">
        <f t="shared" si="36"/>
        <v>Uninformative</v>
      </c>
      <c r="EY75" s="58" t="str">
        <f t="shared" si="37"/>
        <v>Uninformative</v>
      </c>
      <c r="EZ75" s="58" t="str">
        <f t="shared" si="38"/>
        <v>Uninformative</v>
      </c>
      <c r="FA75" s="58" t="str">
        <f t="shared" si="39"/>
        <v>No</v>
      </c>
    </row>
    <row r="76" spans="1:157" ht="20" customHeight="1">
      <c r="A76" s="32"/>
      <c r="B76" s="32"/>
      <c r="C76" s="32"/>
      <c r="D76" s="32"/>
      <c r="E76" s="32"/>
      <c r="F76" s="32"/>
      <c r="G76" s="32"/>
      <c r="H76" s="32"/>
      <c r="I76" s="32"/>
      <c r="J76" s="32"/>
      <c r="K76" s="32"/>
      <c r="L76" s="32"/>
      <c r="M76" s="32"/>
      <c r="N76" s="32"/>
      <c r="O76" s="32"/>
      <c r="P76" s="32"/>
      <c r="Q76" s="32"/>
      <c r="R76" s="32"/>
      <c r="S76" s="32"/>
      <c r="T76" s="32"/>
      <c r="U76" s="32"/>
      <c r="V76" s="32"/>
      <c r="W76" s="32"/>
      <c r="X76"/>
      <c r="Y76"/>
      <c r="Z76"/>
      <c r="AA76"/>
      <c r="AB76"/>
      <c r="AC76"/>
      <c r="AD76"/>
      <c r="AE76"/>
      <c r="AG76"/>
      <c r="AH76"/>
      <c r="AI76"/>
      <c r="AJ76"/>
      <c r="AK76"/>
      <c r="AL76"/>
      <c r="AM76"/>
      <c r="AN76"/>
      <c r="AO76"/>
      <c r="AP76"/>
      <c r="AQ76"/>
      <c r="AR76"/>
      <c r="AS76"/>
      <c r="AT76"/>
      <c r="AU76"/>
      <c r="AV76"/>
      <c r="AW76"/>
      <c r="AX76"/>
      <c r="AY76"/>
      <c r="AZ76"/>
      <c r="BA76"/>
      <c r="BB76"/>
      <c r="BC76"/>
      <c r="BD76"/>
      <c r="BE76"/>
      <c r="BF76"/>
      <c r="BG76"/>
      <c r="BH76"/>
      <c r="BI76"/>
      <c r="BJ76"/>
      <c r="BK76"/>
      <c r="BL76"/>
      <c r="BQ76"/>
      <c r="BR76"/>
      <c r="BS76"/>
      <c r="BT76"/>
      <c r="BU76"/>
      <c r="BV76"/>
      <c r="BW76"/>
      <c r="BX76"/>
      <c r="BY76"/>
      <c r="BZ76"/>
      <c r="CB76"/>
      <c r="CC76"/>
      <c r="CD76"/>
      <c r="CF76"/>
      <c r="CG76"/>
      <c r="CH76"/>
      <c r="CJ76"/>
      <c r="CK76"/>
      <c r="CL76"/>
      <c r="CM76"/>
      <c r="CN76"/>
      <c r="CP76"/>
      <c r="CQ76"/>
      <c r="CR76"/>
      <c r="CS76"/>
      <c r="CT76"/>
      <c r="CU76"/>
      <c r="CV76"/>
      <c r="CW76"/>
      <c r="CX76"/>
      <c r="CY76"/>
      <c r="CZ76"/>
      <c r="DA76"/>
      <c r="DB76"/>
      <c r="DC76"/>
      <c r="DD76"/>
      <c r="DE76"/>
      <c r="DF76"/>
      <c r="DG76"/>
      <c r="DH76"/>
      <c r="DI76"/>
      <c r="DJ76"/>
      <c r="DK76"/>
      <c r="DL76"/>
      <c r="DM76"/>
      <c r="DN76"/>
      <c r="DO76"/>
      <c r="DP76"/>
      <c r="DQ76" s="1">
        <f t="shared" si="25"/>
        <v>0</v>
      </c>
      <c r="DR76" s="1">
        <f t="shared" si="26"/>
        <v>0</v>
      </c>
      <c r="DS76" s="1">
        <f t="shared" si="27"/>
        <v>0</v>
      </c>
      <c r="DT76" s="1">
        <f t="shared" si="28"/>
        <v>0</v>
      </c>
      <c r="DU76" s="1">
        <f t="shared" si="29"/>
        <v>0</v>
      </c>
      <c r="DV76" s="1">
        <f t="shared" si="30"/>
        <v>0</v>
      </c>
      <c r="DW76" s="1">
        <f t="shared" si="31"/>
        <v>0</v>
      </c>
      <c r="DX76" s="1">
        <f t="shared" si="32"/>
        <v>0</v>
      </c>
      <c r="DY76" s="1" t="str">
        <f t="array" ref="DY76">_xlfn.LET(
_xlpm.a,LOWER(TRIM(DQ76&amp;"")),
_xlpm.b,LOWER(TRIM(DR76&amp;"")),
_xlpm.x,_xlfn.IFS(_xlpm.a="0",0,_xlpm.a="none",0,_xlpm.a="moderate",1,_xlpm.a="strong",2),
_xlpm.y,_xlfn.IFS(_xlpm.b="0",0,_xlpm.b="none",0,_xlpm.b="moderate",1,_xlpm.b="strong",2),
_xlpm.d,ABS(_xlpm.x-_xlpm.y),
IF(_xlpm.d=0,"green",IF(_xlpm.d=1,"orange",IF(_xlpm.d=2,"red","check")))
)</f>
        <v>green</v>
      </c>
      <c r="DZ76" s="1" t="str">
        <f t="array" ref="DZ76">_xlfn.LET(
_xlpm.a,LOWER(TRIM(DS76&amp;"")),
_xlpm.b,LOWER(TRIM(DT76&amp;"")),
_xlpm.x,_xlfn.IFS(_xlpm.a="0",0,_xlpm.a="none",0,_xlpm.a="moderate",1,_xlpm.a="strong",2),
_xlpm.y,_xlfn.IFS(_xlpm.b="0",0,_xlpm.b="none",0,_xlpm.b="moderate",1,_xlpm.b="strong",2),
_xlpm.d,ABS(_xlpm.x-_xlpm.y),
IF(_xlpm.d=0,"green",IF(_xlpm.d=1,"orange",IF(_xlpm.d=2,"red","check")))
)</f>
        <v>green</v>
      </c>
      <c r="EA76" s="1" t="str">
        <f t="array" ref="EA76">_xlfn.LET(
_xlpm.a,LOWER(TRIM(DU76&amp;"")),
_xlpm.b,LOWER(TRIM(DV76&amp;"")),
_xlpm.x,_xlfn.IFS(_xlpm.a="0",0,_xlpm.a="none",0,_xlpm.a="moderate",1,_xlpm.a="strong",2),
_xlpm.y,_xlfn.IFS(_xlpm.b="0",0,_xlpm.b="none",0,_xlpm.b="moderate",1,_xlpm.b="strong",2),
_xlpm.d,ABS(_xlpm.x-_xlpm.y),
IF(_xlpm.d=0,"green",IF(_xlpm.d=1,"orange",IF(_xlpm.d=2,"red","check")))
)</f>
        <v>green</v>
      </c>
      <c r="EB76" s="1" t="str">
        <f t="array" ref="EB76">_xlfn.LET(
_xlpm.a,LOWER(TRIM(DW76&amp;"")),
_xlpm.b,LOWER(TRIM(DX76&amp;"")),
_xlpm.x,_xlfn.IFS(_xlpm.a="0",0,_xlpm.a="none",0,_xlpm.a="moderate",1,_xlpm.a="strong",2),
_xlpm.y,_xlfn.IFS(_xlpm.b="0",0,_xlpm.b="none",0,_xlpm.b="moderate",1,_xlpm.b="strong",2),
_xlpm.d,ABS(_xlpm.x-_xlpm.y),
IF(_xlpm.d=0,"green",IF(_xlpm.d=1,"orange",IF(_xlpm.d=2,"red","check")))
)</f>
        <v>green</v>
      </c>
      <c r="EC76"/>
      <c r="ED76"/>
      <c r="EE76"/>
      <c r="EF76"/>
      <c r="EG76"/>
      <c r="EH76"/>
      <c r="EI76"/>
      <c r="EJ76"/>
      <c r="EK76"/>
      <c r="EL76"/>
      <c r="EM76"/>
      <c r="EN76"/>
      <c r="EO76"/>
      <c r="EP76"/>
      <c r="EQ76"/>
      <c r="ER76"/>
      <c r="ES76" s="58" t="str">
        <f t="shared" si="33"/>
        <v/>
      </c>
      <c r="ET76" s="58" t="str">
        <f t="shared" si="34"/>
        <v>No</v>
      </c>
      <c r="EU76" s="59" t="str">
        <f t="shared" si="40"/>
        <v>Uninformative</v>
      </c>
      <c r="EV76" s="59" t="str">
        <f t="shared" si="41"/>
        <v>Uninformative</v>
      </c>
      <c r="EW76" s="59" t="str">
        <f t="shared" si="35"/>
        <v>Uninformative</v>
      </c>
      <c r="EX76" s="58" t="str">
        <f t="shared" si="36"/>
        <v>Uninformative</v>
      </c>
      <c r="EY76" s="58" t="str">
        <f t="shared" si="37"/>
        <v>Uninformative</v>
      </c>
      <c r="EZ76" s="58" t="str">
        <f t="shared" si="38"/>
        <v>Uninformative</v>
      </c>
      <c r="FA76" s="58" t="str">
        <f t="shared" si="39"/>
        <v>No</v>
      </c>
    </row>
    <row r="77" spans="1:157" ht="20" customHeight="1">
      <c r="A77" s="32"/>
      <c r="B77" s="32"/>
      <c r="C77" s="32"/>
      <c r="D77" s="32"/>
      <c r="E77" s="32"/>
      <c r="F77" s="32"/>
      <c r="G77" s="32"/>
      <c r="H77" s="32"/>
      <c r="I77" s="32"/>
      <c r="J77" s="32"/>
      <c r="K77" s="32"/>
      <c r="L77" s="32"/>
      <c r="M77" s="32"/>
      <c r="N77" s="32"/>
      <c r="O77" s="32"/>
      <c r="P77" s="32"/>
      <c r="Q77" s="32"/>
      <c r="R77" s="32"/>
      <c r="S77" s="32"/>
      <c r="T77" s="32"/>
      <c r="U77" s="32"/>
      <c r="V77" s="32"/>
      <c r="W77" s="32"/>
      <c r="X77"/>
      <c r="Y77"/>
      <c r="Z77"/>
      <c r="AA77"/>
      <c r="AB77"/>
      <c r="AC77"/>
      <c r="AD77"/>
      <c r="AE77"/>
      <c r="AG77"/>
      <c r="AH77"/>
      <c r="AI77"/>
      <c r="AJ77"/>
      <c r="AK77"/>
      <c r="AL77"/>
      <c r="AM77"/>
      <c r="AN77"/>
      <c r="AO77"/>
      <c r="AP77"/>
      <c r="AQ77"/>
      <c r="AR77"/>
      <c r="AS77"/>
      <c r="AT77"/>
      <c r="AU77"/>
      <c r="AV77"/>
      <c r="AW77"/>
      <c r="AX77"/>
      <c r="AY77"/>
      <c r="AZ77"/>
      <c r="BU77"/>
      <c r="BV77"/>
      <c r="BW77"/>
      <c r="BX77"/>
      <c r="BY77"/>
      <c r="BZ77"/>
      <c r="CB77"/>
      <c r="CC77"/>
      <c r="CD77"/>
      <c r="CF77"/>
      <c r="CG77"/>
      <c r="CH77"/>
      <c r="CJ77"/>
      <c r="CK77"/>
      <c r="CQ77"/>
      <c r="CR77"/>
      <c r="CS77"/>
      <c r="CT77"/>
      <c r="CU77"/>
      <c r="CV77"/>
      <c r="CW77"/>
      <c r="CX77"/>
      <c r="CY77"/>
      <c r="CZ77"/>
      <c r="DA77"/>
      <c r="DB77"/>
      <c r="DC77"/>
      <c r="DD77"/>
      <c r="DE77"/>
      <c r="DF77"/>
      <c r="DG77"/>
      <c r="DH77"/>
      <c r="DI77"/>
      <c r="DJ77"/>
      <c r="DK77"/>
      <c r="DL77"/>
      <c r="DM77"/>
      <c r="DN77"/>
      <c r="DO77"/>
      <c r="DP77"/>
      <c r="DQ77" s="1">
        <f t="shared" si="25"/>
        <v>0</v>
      </c>
      <c r="DR77" s="1">
        <f t="shared" si="26"/>
        <v>0</v>
      </c>
      <c r="DS77" s="1">
        <f t="shared" si="27"/>
        <v>0</v>
      </c>
      <c r="DT77" s="1">
        <f t="shared" si="28"/>
        <v>0</v>
      </c>
      <c r="DU77" s="1">
        <f t="shared" si="29"/>
        <v>0</v>
      </c>
      <c r="DV77" s="1">
        <f t="shared" si="30"/>
        <v>0</v>
      </c>
      <c r="DW77" s="1">
        <f t="shared" si="31"/>
        <v>0</v>
      </c>
      <c r="DX77" s="1">
        <f t="shared" si="32"/>
        <v>0</v>
      </c>
      <c r="DY77" s="1" t="str">
        <f t="array" ref="DY77">_xlfn.LET(
_xlpm.a,LOWER(TRIM(DQ77&amp;"")),
_xlpm.b,LOWER(TRIM(DR77&amp;"")),
_xlpm.x,_xlfn.IFS(_xlpm.a="0",0,_xlpm.a="none",0,_xlpm.a="moderate",1,_xlpm.a="strong",2),
_xlpm.y,_xlfn.IFS(_xlpm.b="0",0,_xlpm.b="none",0,_xlpm.b="moderate",1,_xlpm.b="strong",2),
_xlpm.d,ABS(_xlpm.x-_xlpm.y),
IF(_xlpm.d=0,"green",IF(_xlpm.d=1,"orange",IF(_xlpm.d=2,"red","check")))
)</f>
        <v>green</v>
      </c>
      <c r="DZ77" s="1" t="str">
        <f t="array" ref="DZ77">_xlfn.LET(
_xlpm.a,LOWER(TRIM(DS77&amp;"")),
_xlpm.b,LOWER(TRIM(DT77&amp;"")),
_xlpm.x,_xlfn.IFS(_xlpm.a="0",0,_xlpm.a="none",0,_xlpm.a="moderate",1,_xlpm.a="strong",2),
_xlpm.y,_xlfn.IFS(_xlpm.b="0",0,_xlpm.b="none",0,_xlpm.b="moderate",1,_xlpm.b="strong",2),
_xlpm.d,ABS(_xlpm.x-_xlpm.y),
IF(_xlpm.d=0,"green",IF(_xlpm.d=1,"orange",IF(_xlpm.d=2,"red","check")))
)</f>
        <v>green</v>
      </c>
      <c r="EA77" s="1" t="str">
        <f t="array" ref="EA77">_xlfn.LET(
_xlpm.a,LOWER(TRIM(DU77&amp;"")),
_xlpm.b,LOWER(TRIM(DV77&amp;"")),
_xlpm.x,_xlfn.IFS(_xlpm.a="0",0,_xlpm.a="none",0,_xlpm.a="moderate",1,_xlpm.a="strong",2),
_xlpm.y,_xlfn.IFS(_xlpm.b="0",0,_xlpm.b="none",0,_xlpm.b="moderate",1,_xlpm.b="strong",2),
_xlpm.d,ABS(_xlpm.x-_xlpm.y),
IF(_xlpm.d=0,"green",IF(_xlpm.d=1,"orange",IF(_xlpm.d=2,"red","check")))
)</f>
        <v>green</v>
      </c>
      <c r="EB77" s="1" t="str">
        <f t="array" ref="EB77">_xlfn.LET(
_xlpm.a,LOWER(TRIM(DW77&amp;"")),
_xlpm.b,LOWER(TRIM(DX77&amp;"")),
_xlpm.x,_xlfn.IFS(_xlpm.a="0",0,_xlpm.a="none",0,_xlpm.a="moderate",1,_xlpm.a="strong",2),
_xlpm.y,_xlfn.IFS(_xlpm.b="0",0,_xlpm.b="none",0,_xlpm.b="moderate",1,_xlpm.b="strong",2),
_xlpm.d,ABS(_xlpm.x-_xlpm.y),
IF(_xlpm.d=0,"green",IF(_xlpm.d=1,"orange",IF(_xlpm.d=2,"red","check")))
)</f>
        <v>green</v>
      </c>
      <c r="EC77"/>
      <c r="ED77"/>
      <c r="EE77"/>
      <c r="EF77"/>
      <c r="EG77"/>
      <c r="EH77"/>
      <c r="EI77"/>
      <c r="EJ77"/>
      <c r="EK77"/>
      <c r="EL77"/>
      <c r="EM77"/>
      <c r="EN77"/>
      <c r="EO77"/>
      <c r="EP77"/>
      <c r="EQ77"/>
      <c r="ER77"/>
      <c r="ES77" s="58" t="str">
        <f t="shared" si="33"/>
        <v/>
      </c>
      <c r="ET77" s="58" t="str">
        <f t="shared" si="34"/>
        <v>No</v>
      </c>
      <c r="EU77" s="59" t="str">
        <f t="shared" si="40"/>
        <v>Uninformative</v>
      </c>
      <c r="EV77" s="59" t="str">
        <f t="shared" si="41"/>
        <v>Uninformative</v>
      </c>
      <c r="EW77" s="59" t="str">
        <f t="shared" si="35"/>
        <v>Uninformative</v>
      </c>
      <c r="EX77" s="58" t="str">
        <f t="shared" si="36"/>
        <v>Uninformative</v>
      </c>
      <c r="EY77" s="58" t="str">
        <f t="shared" si="37"/>
        <v>Uninformative</v>
      </c>
      <c r="EZ77" s="58" t="str">
        <f t="shared" si="38"/>
        <v>Uninformative</v>
      </c>
      <c r="FA77" s="58" t="str">
        <f t="shared" si="39"/>
        <v>No</v>
      </c>
    </row>
    <row r="78" spans="1:157" ht="20" customHeight="1">
      <c r="A78" s="32"/>
      <c r="B78" s="32"/>
      <c r="C78" s="32"/>
      <c r="D78" s="32"/>
      <c r="E78" s="32"/>
      <c r="F78" s="32"/>
      <c r="G78" s="32"/>
      <c r="H78" s="32"/>
      <c r="I78" s="32"/>
      <c r="J78" s="32"/>
      <c r="K78" s="32"/>
      <c r="L78" s="32"/>
      <c r="M78" s="32"/>
      <c r="N78" s="32"/>
      <c r="O78" s="32"/>
      <c r="P78" s="32"/>
      <c r="Q78" s="32"/>
      <c r="R78" s="32"/>
      <c r="S78" s="32"/>
      <c r="T78" s="32"/>
      <c r="U78" s="32"/>
      <c r="V78" s="32"/>
      <c r="W78" s="32"/>
      <c r="X78"/>
      <c r="Y78"/>
      <c r="Z78"/>
      <c r="AA78"/>
      <c r="AB78"/>
      <c r="AC78"/>
      <c r="AD78"/>
      <c r="AE78"/>
      <c r="AG78"/>
      <c r="AH78"/>
      <c r="AI78"/>
      <c r="AJ78"/>
      <c r="AK78"/>
      <c r="AL78"/>
      <c r="AM78"/>
      <c r="AN78"/>
      <c r="AO78"/>
      <c r="AP78"/>
      <c r="AQ78"/>
      <c r="AR78"/>
      <c r="AS78"/>
      <c r="AT78"/>
      <c r="AU78"/>
      <c r="AV78"/>
      <c r="AW78"/>
      <c r="AX78"/>
      <c r="AY78"/>
      <c r="AZ78"/>
      <c r="BA78"/>
      <c r="BB78"/>
      <c r="BC78"/>
      <c r="BD78"/>
      <c r="BE78"/>
      <c r="BF78"/>
      <c r="BG78"/>
      <c r="BH78"/>
      <c r="BI78"/>
      <c r="BJ78"/>
      <c r="BK78"/>
      <c r="BL78"/>
      <c r="BQ78"/>
      <c r="BR78"/>
      <c r="BS78"/>
      <c r="BT78"/>
      <c r="BU78"/>
      <c r="BV78"/>
      <c r="BW78"/>
      <c r="BX78"/>
      <c r="BY78"/>
      <c r="BZ78"/>
      <c r="CB78"/>
      <c r="CC78"/>
      <c r="CD78"/>
      <c r="CF78"/>
      <c r="CG78"/>
      <c r="CH78"/>
      <c r="CJ78"/>
      <c r="CK78"/>
      <c r="CL78"/>
      <c r="CM78"/>
      <c r="CN78"/>
      <c r="CP78"/>
      <c r="CQ78"/>
      <c r="CR78"/>
      <c r="CS78"/>
      <c r="CT78"/>
      <c r="CU78"/>
      <c r="CV78"/>
      <c r="CW78"/>
      <c r="CX78"/>
      <c r="CY78"/>
      <c r="CZ78"/>
      <c r="DA78"/>
      <c r="DB78"/>
      <c r="DC78"/>
      <c r="DD78"/>
      <c r="DE78"/>
      <c r="DF78"/>
      <c r="DG78"/>
      <c r="DH78"/>
      <c r="DI78"/>
      <c r="DJ78"/>
      <c r="DK78"/>
      <c r="DL78"/>
      <c r="DM78"/>
      <c r="DN78"/>
      <c r="DO78"/>
      <c r="DP78"/>
      <c r="DQ78" s="1">
        <f t="shared" si="25"/>
        <v>0</v>
      </c>
      <c r="DR78" s="1">
        <f t="shared" si="26"/>
        <v>0</v>
      </c>
      <c r="DS78" s="1">
        <f t="shared" si="27"/>
        <v>0</v>
      </c>
      <c r="DT78" s="1">
        <f t="shared" si="28"/>
        <v>0</v>
      </c>
      <c r="DU78" s="1">
        <f t="shared" si="29"/>
        <v>0</v>
      </c>
      <c r="DV78" s="1">
        <f t="shared" si="30"/>
        <v>0</v>
      </c>
      <c r="DW78" s="1">
        <f t="shared" si="31"/>
        <v>0</v>
      </c>
      <c r="DX78" s="1">
        <f t="shared" si="32"/>
        <v>0</v>
      </c>
      <c r="DY78" s="1" t="str">
        <f t="array" ref="DY78">_xlfn.LET(
_xlpm.a,LOWER(TRIM(DQ78&amp;"")),
_xlpm.b,LOWER(TRIM(DR78&amp;"")),
_xlpm.x,_xlfn.IFS(_xlpm.a="0",0,_xlpm.a="none",0,_xlpm.a="moderate",1,_xlpm.a="strong",2),
_xlpm.y,_xlfn.IFS(_xlpm.b="0",0,_xlpm.b="none",0,_xlpm.b="moderate",1,_xlpm.b="strong",2),
_xlpm.d,ABS(_xlpm.x-_xlpm.y),
IF(_xlpm.d=0,"green",IF(_xlpm.d=1,"orange",IF(_xlpm.d=2,"red","check")))
)</f>
        <v>green</v>
      </c>
      <c r="DZ78" s="1" t="str">
        <f t="array" ref="DZ78">_xlfn.LET(
_xlpm.a,LOWER(TRIM(DS78&amp;"")),
_xlpm.b,LOWER(TRIM(DT78&amp;"")),
_xlpm.x,_xlfn.IFS(_xlpm.a="0",0,_xlpm.a="none",0,_xlpm.a="moderate",1,_xlpm.a="strong",2),
_xlpm.y,_xlfn.IFS(_xlpm.b="0",0,_xlpm.b="none",0,_xlpm.b="moderate",1,_xlpm.b="strong",2),
_xlpm.d,ABS(_xlpm.x-_xlpm.y),
IF(_xlpm.d=0,"green",IF(_xlpm.d=1,"orange",IF(_xlpm.d=2,"red","check")))
)</f>
        <v>green</v>
      </c>
      <c r="EA78" s="1" t="str">
        <f t="array" ref="EA78">_xlfn.LET(
_xlpm.a,LOWER(TRIM(DU78&amp;"")),
_xlpm.b,LOWER(TRIM(DV78&amp;"")),
_xlpm.x,_xlfn.IFS(_xlpm.a="0",0,_xlpm.a="none",0,_xlpm.a="moderate",1,_xlpm.a="strong",2),
_xlpm.y,_xlfn.IFS(_xlpm.b="0",0,_xlpm.b="none",0,_xlpm.b="moderate",1,_xlpm.b="strong",2),
_xlpm.d,ABS(_xlpm.x-_xlpm.y),
IF(_xlpm.d=0,"green",IF(_xlpm.d=1,"orange",IF(_xlpm.d=2,"red","check")))
)</f>
        <v>green</v>
      </c>
      <c r="EB78" s="1" t="str">
        <f t="array" ref="EB78">_xlfn.LET(
_xlpm.a,LOWER(TRIM(DW78&amp;"")),
_xlpm.b,LOWER(TRIM(DX78&amp;"")),
_xlpm.x,_xlfn.IFS(_xlpm.a="0",0,_xlpm.a="none",0,_xlpm.a="moderate",1,_xlpm.a="strong",2),
_xlpm.y,_xlfn.IFS(_xlpm.b="0",0,_xlpm.b="none",0,_xlpm.b="moderate",1,_xlpm.b="strong",2),
_xlpm.d,ABS(_xlpm.x-_xlpm.y),
IF(_xlpm.d=0,"green",IF(_xlpm.d=1,"orange",IF(_xlpm.d=2,"red","check")))
)</f>
        <v>green</v>
      </c>
      <c r="EC78"/>
      <c r="ED78"/>
      <c r="EE78"/>
      <c r="EF78"/>
      <c r="EG78"/>
      <c r="EH78"/>
      <c r="EI78"/>
      <c r="EJ78"/>
      <c r="EK78"/>
      <c r="EL78"/>
      <c r="EM78"/>
      <c r="EN78"/>
      <c r="EO78"/>
      <c r="EP78"/>
      <c r="EQ78"/>
      <c r="ER78"/>
      <c r="ES78" s="58" t="str">
        <f t="shared" si="33"/>
        <v/>
      </c>
      <c r="ET78" s="58" t="str">
        <f t="shared" si="34"/>
        <v>No</v>
      </c>
      <c r="EU78" s="59" t="str">
        <f t="shared" si="40"/>
        <v>Uninformative</v>
      </c>
      <c r="EV78" s="59" t="str">
        <f t="shared" si="41"/>
        <v>Uninformative</v>
      </c>
      <c r="EW78" s="59" t="str">
        <f t="shared" si="35"/>
        <v>Uninformative</v>
      </c>
      <c r="EX78" s="58" t="str">
        <f t="shared" si="36"/>
        <v>Uninformative</v>
      </c>
      <c r="EY78" s="58" t="str">
        <f t="shared" si="37"/>
        <v>Uninformative</v>
      </c>
      <c r="EZ78" s="58" t="str">
        <f t="shared" si="38"/>
        <v>Uninformative</v>
      </c>
      <c r="FA78" s="58" t="str">
        <f t="shared" si="39"/>
        <v>No</v>
      </c>
    </row>
    <row r="79" spans="1:157" ht="20" customHeight="1">
      <c r="A79" s="32"/>
      <c r="B79" s="32"/>
      <c r="C79" s="32"/>
      <c r="D79" s="32"/>
      <c r="E79" s="32"/>
      <c r="F79" s="32"/>
      <c r="G79" s="32"/>
      <c r="H79" s="32"/>
      <c r="I79" s="32"/>
      <c r="J79" s="32"/>
      <c r="K79" s="32"/>
      <c r="L79" s="32"/>
      <c r="M79" s="32"/>
      <c r="N79" s="32"/>
      <c r="O79" s="32"/>
      <c r="P79" s="32"/>
      <c r="Q79" s="32"/>
      <c r="R79" s="32"/>
      <c r="S79" s="32"/>
      <c r="T79" s="32"/>
      <c r="U79" s="32"/>
      <c r="V79" s="32"/>
      <c r="W79" s="32"/>
      <c r="X79"/>
      <c r="Y79"/>
      <c r="Z79"/>
      <c r="AA79"/>
      <c r="AB79"/>
      <c r="AC79"/>
      <c r="AD79"/>
      <c r="AE79"/>
      <c r="AG79"/>
      <c r="AH79"/>
      <c r="AI79"/>
      <c r="AJ79"/>
      <c r="AK79"/>
      <c r="AL79"/>
      <c r="CZ79"/>
      <c r="DA79"/>
      <c r="DB79" s="16"/>
      <c r="DC79"/>
      <c r="DD79"/>
      <c r="DE79"/>
      <c r="DF79"/>
      <c r="DG79"/>
      <c r="DH79"/>
      <c r="DI79"/>
      <c r="DJ79"/>
      <c r="DK79"/>
      <c r="DL79"/>
      <c r="DM79"/>
      <c r="DN79"/>
      <c r="DO79"/>
      <c r="DP79"/>
      <c r="DQ79" s="1">
        <f t="shared" si="25"/>
        <v>0</v>
      </c>
      <c r="DR79" s="1">
        <f t="shared" si="26"/>
        <v>0</v>
      </c>
      <c r="DS79" s="1">
        <f t="shared" si="27"/>
        <v>0</v>
      </c>
      <c r="DT79" s="1">
        <f t="shared" si="28"/>
        <v>0</v>
      </c>
      <c r="DU79" s="1">
        <f t="shared" si="29"/>
        <v>0</v>
      </c>
      <c r="DV79" s="1">
        <f t="shared" si="30"/>
        <v>0</v>
      </c>
      <c r="DW79" s="1">
        <f t="shared" si="31"/>
        <v>0</v>
      </c>
      <c r="DX79" s="1">
        <f t="shared" si="32"/>
        <v>0</v>
      </c>
      <c r="DY79" s="1" t="str">
        <f t="array" ref="DY79">_xlfn.LET(
_xlpm.a,LOWER(TRIM(DQ79&amp;"")),
_xlpm.b,LOWER(TRIM(DR79&amp;"")),
_xlpm.x,_xlfn.IFS(_xlpm.a="0",0,_xlpm.a="none",0,_xlpm.a="moderate",1,_xlpm.a="strong",2),
_xlpm.y,_xlfn.IFS(_xlpm.b="0",0,_xlpm.b="none",0,_xlpm.b="moderate",1,_xlpm.b="strong",2),
_xlpm.d,ABS(_xlpm.x-_xlpm.y),
IF(_xlpm.d=0,"green",IF(_xlpm.d=1,"orange",IF(_xlpm.d=2,"red","check")))
)</f>
        <v>green</v>
      </c>
      <c r="DZ79" s="1" t="str">
        <f t="array" ref="DZ79">_xlfn.LET(
_xlpm.a,LOWER(TRIM(DS79&amp;"")),
_xlpm.b,LOWER(TRIM(DT79&amp;"")),
_xlpm.x,_xlfn.IFS(_xlpm.a="0",0,_xlpm.a="none",0,_xlpm.a="moderate",1,_xlpm.a="strong",2),
_xlpm.y,_xlfn.IFS(_xlpm.b="0",0,_xlpm.b="none",0,_xlpm.b="moderate",1,_xlpm.b="strong",2),
_xlpm.d,ABS(_xlpm.x-_xlpm.y),
IF(_xlpm.d=0,"green",IF(_xlpm.d=1,"orange",IF(_xlpm.d=2,"red","check")))
)</f>
        <v>green</v>
      </c>
      <c r="EA79" s="1" t="str">
        <f t="array" ref="EA79">_xlfn.LET(
_xlpm.a,LOWER(TRIM(DU79&amp;"")),
_xlpm.b,LOWER(TRIM(DV79&amp;"")),
_xlpm.x,_xlfn.IFS(_xlpm.a="0",0,_xlpm.a="none",0,_xlpm.a="moderate",1,_xlpm.a="strong",2),
_xlpm.y,_xlfn.IFS(_xlpm.b="0",0,_xlpm.b="none",0,_xlpm.b="moderate",1,_xlpm.b="strong",2),
_xlpm.d,ABS(_xlpm.x-_xlpm.y),
IF(_xlpm.d=0,"green",IF(_xlpm.d=1,"orange",IF(_xlpm.d=2,"red","check")))
)</f>
        <v>green</v>
      </c>
      <c r="EB79" s="1" t="str">
        <f t="array" ref="EB79">_xlfn.LET(
_xlpm.a,LOWER(TRIM(DW79&amp;"")),
_xlpm.b,LOWER(TRIM(DX79&amp;"")),
_xlpm.x,_xlfn.IFS(_xlpm.a="0",0,_xlpm.a="none",0,_xlpm.a="moderate",1,_xlpm.a="strong",2),
_xlpm.y,_xlfn.IFS(_xlpm.b="0",0,_xlpm.b="none",0,_xlpm.b="moderate",1,_xlpm.b="strong",2),
_xlpm.d,ABS(_xlpm.x-_xlpm.y),
IF(_xlpm.d=0,"green",IF(_xlpm.d=1,"orange",IF(_xlpm.d=2,"red","check")))
)</f>
        <v>green</v>
      </c>
      <c r="EC79"/>
      <c r="ED79"/>
      <c r="EE79"/>
      <c r="EF79"/>
      <c r="EG79"/>
      <c r="EH79"/>
      <c r="EI79"/>
      <c r="EJ79"/>
      <c r="EK79"/>
      <c r="EL79"/>
      <c r="EM79"/>
      <c r="EN79"/>
      <c r="EO79"/>
      <c r="EP79"/>
      <c r="EQ79"/>
      <c r="ER79"/>
      <c r="ES79" s="58" t="str">
        <f t="shared" si="33"/>
        <v/>
      </c>
      <c r="ET79" s="58" t="str">
        <f t="shared" si="34"/>
        <v>No</v>
      </c>
      <c r="EU79" s="59" t="str">
        <f t="shared" si="40"/>
        <v>Uninformative</v>
      </c>
      <c r="EV79" s="59" t="str">
        <f t="shared" si="41"/>
        <v>Uninformative</v>
      </c>
      <c r="EW79" s="59" t="str">
        <f t="shared" si="35"/>
        <v>Uninformative</v>
      </c>
      <c r="EX79" s="58" t="str">
        <f t="shared" si="36"/>
        <v>Uninformative</v>
      </c>
      <c r="EY79" s="58" t="str">
        <f t="shared" si="37"/>
        <v>Uninformative</v>
      </c>
      <c r="EZ79" s="58" t="str">
        <f t="shared" si="38"/>
        <v>Uninformative</v>
      </c>
      <c r="FA79" s="58" t="str">
        <f t="shared" si="39"/>
        <v>No</v>
      </c>
    </row>
    <row r="80" spans="1:157" ht="20" customHeight="1">
      <c r="A80" s="32"/>
      <c r="B80" s="32"/>
      <c r="C80" s="32"/>
      <c r="D80" s="32"/>
      <c r="E80" s="32"/>
      <c r="F80" s="32"/>
      <c r="G80" s="32"/>
      <c r="H80" s="32"/>
      <c r="I80" s="32"/>
      <c r="J80" s="32"/>
      <c r="K80" s="32"/>
      <c r="L80" s="32"/>
      <c r="M80" s="32"/>
      <c r="N80" s="32"/>
      <c r="O80" s="32"/>
      <c r="P80" s="32"/>
      <c r="Q80" s="32"/>
      <c r="R80" s="32"/>
      <c r="S80" s="32"/>
      <c r="T80" s="32"/>
      <c r="U80" s="32"/>
      <c r="V80" s="32"/>
      <c r="W80" s="32"/>
      <c r="X80"/>
      <c r="Y80"/>
      <c r="Z80"/>
      <c r="AA80"/>
      <c r="AB80"/>
      <c r="AC80"/>
      <c r="AD80"/>
      <c r="AE80"/>
      <c r="AG80"/>
      <c r="AH80"/>
      <c r="AI80"/>
      <c r="AJ80"/>
      <c r="AK80"/>
      <c r="AL80"/>
      <c r="AM80"/>
      <c r="AN80"/>
      <c r="AO80"/>
      <c r="AP80"/>
      <c r="AQ80"/>
      <c r="AR80"/>
      <c r="AS80"/>
      <c r="AT80"/>
      <c r="AU80"/>
      <c r="AV80"/>
      <c r="AW80"/>
      <c r="AX80"/>
      <c r="AY80"/>
      <c r="AZ80"/>
      <c r="BA80"/>
      <c r="BB80"/>
      <c r="BC80"/>
      <c r="BD80"/>
      <c r="BE80"/>
      <c r="BF80"/>
      <c r="BG80"/>
      <c r="BH80"/>
      <c r="BI80"/>
      <c r="BJ80"/>
      <c r="BK80"/>
      <c r="BL80"/>
      <c r="BQ80"/>
      <c r="BR80"/>
      <c r="BS80"/>
      <c r="BT80"/>
      <c r="BU80"/>
      <c r="BV80"/>
      <c r="BW80"/>
      <c r="BX80"/>
      <c r="BY80"/>
      <c r="BZ80"/>
      <c r="CB80"/>
      <c r="CC80"/>
      <c r="CD80"/>
      <c r="CF80"/>
      <c r="CG80"/>
      <c r="CH80"/>
      <c r="CJ80"/>
      <c r="CK80"/>
      <c r="CL80"/>
      <c r="CM80"/>
      <c r="CN80"/>
      <c r="CP80"/>
      <c r="CQ80"/>
      <c r="CR80"/>
      <c r="CS80" s="16"/>
      <c r="CT80"/>
      <c r="CU80"/>
      <c r="CV80"/>
      <c r="CW80"/>
      <c r="CX80"/>
      <c r="CY80"/>
      <c r="CZ80"/>
      <c r="DA80"/>
      <c r="DB80"/>
      <c r="DC80"/>
      <c r="DD80"/>
      <c r="DE80"/>
      <c r="DF80"/>
      <c r="DG80"/>
      <c r="DH80"/>
      <c r="DI80"/>
      <c r="DJ80"/>
      <c r="DK80"/>
      <c r="DL80"/>
      <c r="DM80"/>
      <c r="DN80"/>
      <c r="DO80"/>
      <c r="DP80"/>
      <c r="DQ80" s="1">
        <f t="shared" si="25"/>
        <v>0</v>
      </c>
      <c r="DR80" s="1">
        <f t="shared" si="26"/>
        <v>0</v>
      </c>
      <c r="DS80" s="1">
        <f t="shared" si="27"/>
        <v>0</v>
      </c>
      <c r="DT80" s="1">
        <f t="shared" si="28"/>
        <v>0</v>
      </c>
      <c r="DU80" s="1">
        <f t="shared" si="29"/>
        <v>0</v>
      </c>
      <c r="DV80" s="1">
        <f t="shared" si="30"/>
        <v>0</v>
      </c>
      <c r="DW80" s="1">
        <f t="shared" si="31"/>
        <v>0</v>
      </c>
      <c r="DX80" s="1">
        <f t="shared" si="32"/>
        <v>0</v>
      </c>
      <c r="DY80" s="1" t="str">
        <f t="array" ref="DY80">_xlfn.LET(
_xlpm.a,LOWER(TRIM(DQ80&amp;"")),
_xlpm.b,LOWER(TRIM(DR80&amp;"")),
_xlpm.x,_xlfn.IFS(_xlpm.a="0",0,_xlpm.a="none",0,_xlpm.a="moderate",1,_xlpm.a="strong",2),
_xlpm.y,_xlfn.IFS(_xlpm.b="0",0,_xlpm.b="none",0,_xlpm.b="moderate",1,_xlpm.b="strong",2),
_xlpm.d,ABS(_xlpm.x-_xlpm.y),
IF(_xlpm.d=0,"green",IF(_xlpm.d=1,"orange",IF(_xlpm.d=2,"red","check")))
)</f>
        <v>green</v>
      </c>
      <c r="DZ80" s="1" t="str">
        <f t="array" ref="DZ80">_xlfn.LET(
_xlpm.a,LOWER(TRIM(DS80&amp;"")),
_xlpm.b,LOWER(TRIM(DT80&amp;"")),
_xlpm.x,_xlfn.IFS(_xlpm.a="0",0,_xlpm.a="none",0,_xlpm.a="moderate",1,_xlpm.a="strong",2),
_xlpm.y,_xlfn.IFS(_xlpm.b="0",0,_xlpm.b="none",0,_xlpm.b="moderate",1,_xlpm.b="strong",2),
_xlpm.d,ABS(_xlpm.x-_xlpm.y),
IF(_xlpm.d=0,"green",IF(_xlpm.d=1,"orange",IF(_xlpm.d=2,"red","check")))
)</f>
        <v>green</v>
      </c>
      <c r="EA80" s="1" t="str">
        <f t="array" ref="EA80">_xlfn.LET(
_xlpm.a,LOWER(TRIM(DU80&amp;"")),
_xlpm.b,LOWER(TRIM(DV80&amp;"")),
_xlpm.x,_xlfn.IFS(_xlpm.a="0",0,_xlpm.a="none",0,_xlpm.a="moderate",1,_xlpm.a="strong",2),
_xlpm.y,_xlfn.IFS(_xlpm.b="0",0,_xlpm.b="none",0,_xlpm.b="moderate",1,_xlpm.b="strong",2),
_xlpm.d,ABS(_xlpm.x-_xlpm.y),
IF(_xlpm.d=0,"green",IF(_xlpm.d=1,"orange",IF(_xlpm.d=2,"red","check")))
)</f>
        <v>green</v>
      </c>
      <c r="EB80" s="1" t="str">
        <f t="array" ref="EB80">_xlfn.LET(
_xlpm.a,LOWER(TRIM(DW80&amp;"")),
_xlpm.b,LOWER(TRIM(DX80&amp;"")),
_xlpm.x,_xlfn.IFS(_xlpm.a="0",0,_xlpm.a="none",0,_xlpm.a="moderate",1,_xlpm.a="strong",2),
_xlpm.y,_xlfn.IFS(_xlpm.b="0",0,_xlpm.b="none",0,_xlpm.b="moderate",1,_xlpm.b="strong",2),
_xlpm.d,ABS(_xlpm.x-_xlpm.y),
IF(_xlpm.d=0,"green",IF(_xlpm.d=1,"orange",IF(_xlpm.d=2,"red","check")))
)</f>
        <v>green</v>
      </c>
      <c r="EC80"/>
      <c r="ED80"/>
      <c r="EE80"/>
      <c r="EF80"/>
      <c r="EG80"/>
      <c r="EH80"/>
      <c r="EI80"/>
      <c r="EJ80"/>
      <c r="EK80"/>
      <c r="EL80"/>
      <c r="EM80"/>
      <c r="EN80"/>
      <c r="EO80"/>
      <c r="EP80"/>
      <c r="EQ80"/>
      <c r="ER80"/>
      <c r="ES80" s="58" t="str">
        <f t="shared" si="33"/>
        <v/>
      </c>
      <c r="ET80" s="58" t="str">
        <f t="shared" si="34"/>
        <v>No</v>
      </c>
      <c r="EU80" s="59" t="str">
        <f t="shared" si="40"/>
        <v>Uninformative</v>
      </c>
      <c r="EV80" s="59" t="str">
        <f t="shared" si="41"/>
        <v>Uninformative</v>
      </c>
      <c r="EW80" s="59" t="str">
        <f t="shared" si="35"/>
        <v>Uninformative</v>
      </c>
      <c r="EX80" s="58" t="str">
        <f t="shared" si="36"/>
        <v>Uninformative</v>
      </c>
      <c r="EY80" s="58" t="str">
        <f t="shared" si="37"/>
        <v>Uninformative</v>
      </c>
      <c r="EZ80" s="58" t="str">
        <f t="shared" si="38"/>
        <v>Uninformative</v>
      </c>
      <c r="FA80" s="58" t="str">
        <f t="shared" si="39"/>
        <v>No</v>
      </c>
    </row>
    <row r="81" spans="1:157" ht="20" customHeight="1">
      <c r="A81" s="32"/>
      <c r="B81" s="32"/>
      <c r="C81" s="32"/>
      <c r="D81" s="32"/>
      <c r="E81" s="32"/>
      <c r="F81" s="32"/>
      <c r="G81" s="32"/>
      <c r="H81" s="32"/>
      <c r="I81" s="32"/>
      <c r="J81" s="32"/>
      <c r="K81" s="32"/>
      <c r="L81" s="32"/>
      <c r="M81" s="32"/>
      <c r="N81" s="32"/>
      <c r="O81" s="32"/>
      <c r="P81" s="32"/>
      <c r="Q81" s="32"/>
      <c r="R81" s="32"/>
      <c r="S81" s="32"/>
      <c r="T81" s="32"/>
      <c r="U81" s="32"/>
      <c r="V81" s="32"/>
      <c r="W81" s="32"/>
      <c r="X81"/>
      <c r="AA81"/>
      <c r="AB81"/>
      <c r="AM81"/>
      <c r="AN81"/>
      <c r="AO81"/>
      <c r="AP81"/>
      <c r="AQ81"/>
      <c r="AR81"/>
      <c r="AS81"/>
      <c r="AT81"/>
      <c r="AU81"/>
      <c r="AV81"/>
      <c r="AW81"/>
      <c r="AX81"/>
      <c r="AY81"/>
      <c r="AZ81"/>
      <c r="BA81"/>
      <c r="BB81"/>
      <c r="BC81"/>
      <c r="BD81"/>
      <c r="BE81"/>
      <c r="BF81"/>
      <c r="BG81"/>
      <c r="BH81"/>
      <c r="BI81"/>
      <c r="BJ81"/>
      <c r="BK81"/>
      <c r="BL81"/>
      <c r="BQ81"/>
      <c r="BR81"/>
      <c r="BS81"/>
      <c r="BT81"/>
      <c r="BU81"/>
      <c r="BV81"/>
      <c r="BW81"/>
      <c r="BX81"/>
      <c r="BY81"/>
      <c r="BZ81"/>
      <c r="CB81"/>
      <c r="CC81"/>
      <c r="CD81"/>
      <c r="CF81"/>
      <c r="CG81"/>
      <c r="CH81"/>
      <c r="CJ81"/>
      <c r="CK81"/>
      <c r="CL81"/>
      <c r="CM81"/>
      <c r="CN81"/>
      <c r="CP81"/>
      <c r="CQ81"/>
      <c r="CR81"/>
      <c r="CS81"/>
      <c r="CT81"/>
      <c r="CU81"/>
      <c r="CV81"/>
      <c r="CW81"/>
      <c r="CX81"/>
      <c r="CY81"/>
      <c r="CZ81"/>
      <c r="DA81"/>
      <c r="DB81"/>
      <c r="DC81"/>
      <c r="DD81"/>
      <c r="DE81"/>
      <c r="DF81"/>
      <c r="DG81"/>
      <c r="DH81"/>
      <c r="DI81"/>
      <c r="DJ81"/>
      <c r="DK81"/>
      <c r="DL81"/>
      <c r="DM81"/>
      <c r="DN81"/>
      <c r="DO81"/>
      <c r="DP81"/>
      <c r="DQ81" s="1">
        <f t="shared" si="25"/>
        <v>0</v>
      </c>
      <c r="DR81" s="1">
        <f t="shared" si="26"/>
        <v>0</v>
      </c>
      <c r="DS81" s="1">
        <f t="shared" si="27"/>
        <v>0</v>
      </c>
      <c r="DT81" s="1">
        <f t="shared" si="28"/>
        <v>0</v>
      </c>
      <c r="DU81" s="1">
        <f t="shared" si="29"/>
        <v>0</v>
      </c>
      <c r="DV81" s="1">
        <f t="shared" si="30"/>
        <v>0</v>
      </c>
      <c r="DW81" s="1">
        <f t="shared" si="31"/>
        <v>0</v>
      </c>
      <c r="DX81" s="1">
        <f t="shared" si="32"/>
        <v>0</v>
      </c>
      <c r="DY81" s="1" t="str">
        <f t="array" ref="DY81">_xlfn.LET(
_xlpm.a,LOWER(TRIM(DQ81&amp;"")),
_xlpm.b,LOWER(TRIM(DR81&amp;"")),
_xlpm.x,_xlfn.IFS(_xlpm.a="0",0,_xlpm.a="none",0,_xlpm.a="moderate",1,_xlpm.a="strong",2),
_xlpm.y,_xlfn.IFS(_xlpm.b="0",0,_xlpm.b="none",0,_xlpm.b="moderate",1,_xlpm.b="strong",2),
_xlpm.d,ABS(_xlpm.x-_xlpm.y),
IF(_xlpm.d=0,"green",IF(_xlpm.d=1,"orange",IF(_xlpm.d=2,"red","check")))
)</f>
        <v>green</v>
      </c>
      <c r="DZ81" s="1" t="str">
        <f t="array" ref="DZ81">_xlfn.LET(
_xlpm.a,LOWER(TRIM(DS81&amp;"")),
_xlpm.b,LOWER(TRIM(DT81&amp;"")),
_xlpm.x,_xlfn.IFS(_xlpm.a="0",0,_xlpm.a="none",0,_xlpm.a="moderate",1,_xlpm.a="strong",2),
_xlpm.y,_xlfn.IFS(_xlpm.b="0",0,_xlpm.b="none",0,_xlpm.b="moderate",1,_xlpm.b="strong",2),
_xlpm.d,ABS(_xlpm.x-_xlpm.y),
IF(_xlpm.d=0,"green",IF(_xlpm.d=1,"orange",IF(_xlpm.d=2,"red","check")))
)</f>
        <v>green</v>
      </c>
      <c r="EA81" s="1" t="str">
        <f t="array" ref="EA81">_xlfn.LET(
_xlpm.a,LOWER(TRIM(DU81&amp;"")),
_xlpm.b,LOWER(TRIM(DV81&amp;"")),
_xlpm.x,_xlfn.IFS(_xlpm.a="0",0,_xlpm.a="none",0,_xlpm.a="moderate",1,_xlpm.a="strong",2),
_xlpm.y,_xlfn.IFS(_xlpm.b="0",0,_xlpm.b="none",0,_xlpm.b="moderate",1,_xlpm.b="strong",2),
_xlpm.d,ABS(_xlpm.x-_xlpm.y),
IF(_xlpm.d=0,"green",IF(_xlpm.d=1,"orange",IF(_xlpm.d=2,"red","check")))
)</f>
        <v>green</v>
      </c>
      <c r="EB81" s="1" t="str">
        <f t="array" ref="EB81">_xlfn.LET(
_xlpm.a,LOWER(TRIM(DW81&amp;"")),
_xlpm.b,LOWER(TRIM(DX81&amp;"")),
_xlpm.x,_xlfn.IFS(_xlpm.a="0",0,_xlpm.a="none",0,_xlpm.a="moderate",1,_xlpm.a="strong",2),
_xlpm.y,_xlfn.IFS(_xlpm.b="0",0,_xlpm.b="none",0,_xlpm.b="moderate",1,_xlpm.b="strong",2),
_xlpm.d,ABS(_xlpm.x-_xlpm.y),
IF(_xlpm.d=0,"green",IF(_xlpm.d=1,"orange",IF(_xlpm.d=2,"red","check")))
)</f>
        <v>green</v>
      </c>
      <c r="EC81"/>
      <c r="ED81"/>
      <c r="EE81"/>
      <c r="EF81"/>
      <c r="EG81"/>
      <c r="EH81"/>
      <c r="EI81"/>
      <c r="EJ81"/>
      <c r="EK81"/>
      <c r="EL81"/>
      <c r="EM81"/>
      <c r="EN81"/>
      <c r="EO81"/>
      <c r="EP81"/>
      <c r="EQ81"/>
      <c r="ER81"/>
      <c r="ES81" s="58" t="str">
        <f t="shared" si="33"/>
        <v/>
      </c>
      <c r="ET81" s="58" t="str">
        <f t="shared" si="34"/>
        <v>No</v>
      </c>
      <c r="EU81" s="59" t="str">
        <f t="shared" si="40"/>
        <v>Uninformative</v>
      </c>
      <c r="EV81" s="59" t="str">
        <f t="shared" si="41"/>
        <v>Uninformative</v>
      </c>
      <c r="EW81" s="59" t="str">
        <f t="shared" si="35"/>
        <v>Uninformative</v>
      </c>
      <c r="EX81" s="58" t="str">
        <f t="shared" si="36"/>
        <v>Uninformative</v>
      </c>
      <c r="EY81" s="58" t="str">
        <f t="shared" si="37"/>
        <v>Uninformative</v>
      </c>
      <c r="EZ81" s="58" t="str">
        <f t="shared" si="38"/>
        <v>Uninformative</v>
      </c>
      <c r="FA81" s="58" t="str">
        <f t="shared" si="39"/>
        <v>No</v>
      </c>
    </row>
    <row r="82" spans="1:157" ht="20" customHeight="1">
      <c r="A82" s="32"/>
      <c r="B82" s="32"/>
      <c r="C82" s="32"/>
      <c r="D82" s="32"/>
      <c r="E82" s="32"/>
      <c r="F82" s="32"/>
      <c r="G82" s="32"/>
      <c r="H82" s="32"/>
      <c r="I82" s="32"/>
      <c r="J82" s="32"/>
      <c r="K82" s="32"/>
      <c r="L82" s="32"/>
      <c r="M82" s="32"/>
      <c r="N82" s="32"/>
      <c r="O82" s="32"/>
      <c r="P82" s="32"/>
      <c r="Q82" s="32"/>
      <c r="R82" s="32"/>
      <c r="S82" s="32"/>
      <c r="T82" s="32"/>
      <c r="U82" s="32"/>
      <c r="V82" s="32"/>
      <c r="W82" s="32"/>
      <c r="X82"/>
      <c r="Y82"/>
      <c r="Z82"/>
      <c r="AA82"/>
      <c r="AB82"/>
      <c r="AC82"/>
      <c r="AD82"/>
      <c r="AE82"/>
      <c r="AG82"/>
      <c r="AH82"/>
      <c r="AI82"/>
      <c r="AJ82"/>
      <c r="AK82"/>
      <c r="AL82"/>
      <c r="CZ82"/>
      <c r="DA82"/>
      <c r="DB82"/>
      <c r="DC82"/>
      <c r="DD82"/>
      <c r="DE82"/>
      <c r="DF82"/>
      <c r="DG82"/>
      <c r="DH82"/>
      <c r="DI82"/>
      <c r="DJ82"/>
      <c r="DK82"/>
      <c r="DL82"/>
      <c r="DM82"/>
      <c r="DN82"/>
      <c r="DO82"/>
      <c r="DP82"/>
      <c r="DQ82" s="1">
        <f t="shared" si="25"/>
        <v>0</v>
      </c>
      <c r="DR82" s="1">
        <f t="shared" si="26"/>
        <v>0</v>
      </c>
      <c r="DS82" s="1">
        <f t="shared" si="27"/>
        <v>0</v>
      </c>
      <c r="DT82" s="1">
        <f t="shared" si="28"/>
        <v>0</v>
      </c>
      <c r="DU82" s="1">
        <f t="shared" si="29"/>
        <v>0</v>
      </c>
      <c r="DV82" s="1">
        <f t="shared" si="30"/>
        <v>0</v>
      </c>
      <c r="DW82" s="1">
        <f t="shared" si="31"/>
        <v>0</v>
      </c>
      <c r="DX82" s="1">
        <f t="shared" si="32"/>
        <v>0</v>
      </c>
      <c r="DY82" s="1" t="str">
        <f t="array" ref="DY82">_xlfn.LET(
_xlpm.a,LOWER(TRIM(DQ82&amp;"")),
_xlpm.b,LOWER(TRIM(DR82&amp;"")),
_xlpm.x,_xlfn.IFS(_xlpm.a="0",0,_xlpm.a="none",0,_xlpm.a="moderate",1,_xlpm.a="strong",2),
_xlpm.y,_xlfn.IFS(_xlpm.b="0",0,_xlpm.b="none",0,_xlpm.b="moderate",1,_xlpm.b="strong",2),
_xlpm.d,ABS(_xlpm.x-_xlpm.y),
IF(_xlpm.d=0,"green",IF(_xlpm.d=1,"orange",IF(_xlpm.d=2,"red","check")))
)</f>
        <v>green</v>
      </c>
      <c r="DZ82" s="1" t="str">
        <f t="array" ref="DZ82">_xlfn.LET(
_xlpm.a,LOWER(TRIM(DS82&amp;"")),
_xlpm.b,LOWER(TRIM(DT82&amp;"")),
_xlpm.x,_xlfn.IFS(_xlpm.a="0",0,_xlpm.a="none",0,_xlpm.a="moderate",1,_xlpm.a="strong",2),
_xlpm.y,_xlfn.IFS(_xlpm.b="0",0,_xlpm.b="none",0,_xlpm.b="moderate",1,_xlpm.b="strong",2),
_xlpm.d,ABS(_xlpm.x-_xlpm.y),
IF(_xlpm.d=0,"green",IF(_xlpm.d=1,"orange",IF(_xlpm.d=2,"red","check")))
)</f>
        <v>green</v>
      </c>
      <c r="EA82" s="1" t="str">
        <f t="array" ref="EA82">_xlfn.LET(
_xlpm.a,LOWER(TRIM(DU82&amp;"")),
_xlpm.b,LOWER(TRIM(DV82&amp;"")),
_xlpm.x,_xlfn.IFS(_xlpm.a="0",0,_xlpm.a="none",0,_xlpm.a="moderate",1,_xlpm.a="strong",2),
_xlpm.y,_xlfn.IFS(_xlpm.b="0",0,_xlpm.b="none",0,_xlpm.b="moderate",1,_xlpm.b="strong",2),
_xlpm.d,ABS(_xlpm.x-_xlpm.y),
IF(_xlpm.d=0,"green",IF(_xlpm.d=1,"orange",IF(_xlpm.d=2,"red","check")))
)</f>
        <v>green</v>
      </c>
      <c r="EB82" s="1" t="str">
        <f t="array" ref="EB82">_xlfn.LET(
_xlpm.a,LOWER(TRIM(DW82&amp;"")),
_xlpm.b,LOWER(TRIM(DX82&amp;"")),
_xlpm.x,_xlfn.IFS(_xlpm.a="0",0,_xlpm.a="none",0,_xlpm.a="moderate",1,_xlpm.a="strong",2),
_xlpm.y,_xlfn.IFS(_xlpm.b="0",0,_xlpm.b="none",0,_xlpm.b="moderate",1,_xlpm.b="strong",2),
_xlpm.d,ABS(_xlpm.x-_xlpm.y),
IF(_xlpm.d=0,"green",IF(_xlpm.d=1,"orange",IF(_xlpm.d=2,"red","check")))
)</f>
        <v>green</v>
      </c>
      <c r="EC82"/>
      <c r="ED82"/>
      <c r="EE82"/>
      <c r="EF82"/>
      <c r="EG82"/>
      <c r="EH82"/>
      <c r="EI82"/>
      <c r="EJ82"/>
      <c r="EK82"/>
      <c r="EL82"/>
      <c r="EM82"/>
      <c r="EN82"/>
      <c r="EO82"/>
      <c r="EP82"/>
      <c r="EQ82"/>
      <c r="ER82"/>
      <c r="ES82" s="58" t="str">
        <f t="shared" si="33"/>
        <v/>
      </c>
      <c r="ET82" s="58" t="str">
        <f t="shared" si="34"/>
        <v>No</v>
      </c>
      <c r="EU82" s="59" t="str">
        <f t="shared" si="40"/>
        <v>Uninformative</v>
      </c>
      <c r="EV82" s="59" t="str">
        <f t="shared" si="41"/>
        <v>Uninformative</v>
      </c>
      <c r="EW82" s="59" t="str">
        <f t="shared" si="35"/>
        <v>Uninformative</v>
      </c>
      <c r="EX82" s="58" t="str">
        <f t="shared" si="36"/>
        <v>Uninformative</v>
      </c>
      <c r="EY82" s="58" t="str">
        <f t="shared" si="37"/>
        <v>Uninformative</v>
      </c>
      <c r="EZ82" s="58" t="str">
        <f t="shared" si="38"/>
        <v>Uninformative</v>
      </c>
      <c r="FA82" s="58" t="str">
        <f t="shared" si="39"/>
        <v>No</v>
      </c>
    </row>
    <row r="83" spans="1:157" ht="20" customHeight="1">
      <c r="A83" s="32"/>
      <c r="B83" s="32"/>
      <c r="C83" s="32"/>
      <c r="D83" s="32"/>
      <c r="E83" s="32"/>
      <c r="F83" s="32"/>
      <c r="G83" s="32"/>
      <c r="H83" s="32"/>
      <c r="I83" s="32"/>
      <c r="J83" s="32"/>
      <c r="K83" s="32"/>
      <c r="L83" s="32"/>
      <c r="M83" s="32"/>
      <c r="N83" s="32"/>
      <c r="O83" s="32"/>
      <c r="P83" s="32"/>
      <c r="Q83" s="32"/>
      <c r="R83" s="32"/>
      <c r="S83" s="32"/>
      <c r="T83" s="32"/>
      <c r="U83" s="32"/>
      <c r="V83" s="32"/>
      <c r="W83" s="32"/>
      <c r="X83"/>
      <c r="Y83"/>
      <c r="Z83"/>
      <c r="AA83"/>
      <c r="AB83"/>
      <c r="AC83"/>
      <c r="AD83"/>
      <c r="AE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U83"/>
      <c r="BV83"/>
      <c r="BW83"/>
      <c r="BX83"/>
      <c r="BY83"/>
      <c r="BZ83"/>
      <c r="CB83"/>
      <c r="CC83"/>
      <c r="CD83"/>
      <c r="CF83"/>
      <c r="CG83"/>
      <c r="CH83"/>
      <c r="CJ83"/>
      <c r="CK83"/>
      <c r="CL83"/>
      <c r="CM83"/>
      <c r="CN83"/>
      <c r="CO83"/>
      <c r="CQ83"/>
      <c r="CR83"/>
      <c r="CS83"/>
      <c r="CT83"/>
      <c r="CU83"/>
      <c r="CV83"/>
      <c r="CW83"/>
      <c r="CX83"/>
      <c r="CY83"/>
      <c r="CZ83"/>
      <c r="DA83"/>
      <c r="DB83"/>
      <c r="DC83"/>
      <c r="DD83"/>
      <c r="DE83"/>
      <c r="DF83"/>
      <c r="DG83"/>
      <c r="DH83"/>
      <c r="DI83"/>
      <c r="DJ83"/>
      <c r="DK83"/>
      <c r="DL83"/>
      <c r="DM83"/>
      <c r="DN83"/>
      <c r="DO83"/>
      <c r="DP83"/>
      <c r="DQ83" s="1">
        <f t="shared" si="25"/>
        <v>0</v>
      </c>
      <c r="DR83" s="1">
        <f t="shared" si="26"/>
        <v>0</v>
      </c>
      <c r="DS83" s="1">
        <f t="shared" si="27"/>
        <v>0</v>
      </c>
      <c r="DT83" s="1">
        <f t="shared" si="28"/>
        <v>0</v>
      </c>
      <c r="DU83" s="1">
        <f t="shared" si="29"/>
        <v>0</v>
      </c>
      <c r="DV83" s="1">
        <f t="shared" si="30"/>
        <v>0</v>
      </c>
      <c r="DW83" s="1">
        <f t="shared" si="31"/>
        <v>0</v>
      </c>
      <c r="DX83" s="1">
        <f t="shared" si="32"/>
        <v>0</v>
      </c>
      <c r="DY83" s="1" t="str">
        <f t="array" ref="DY83">_xlfn.LET(
_xlpm.a,LOWER(TRIM(DQ83&amp;"")),
_xlpm.b,LOWER(TRIM(DR83&amp;"")),
_xlpm.x,_xlfn.IFS(_xlpm.a="0",0,_xlpm.a="none",0,_xlpm.a="moderate",1,_xlpm.a="strong",2),
_xlpm.y,_xlfn.IFS(_xlpm.b="0",0,_xlpm.b="none",0,_xlpm.b="moderate",1,_xlpm.b="strong",2),
_xlpm.d,ABS(_xlpm.x-_xlpm.y),
IF(_xlpm.d=0,"green",IF(_xlpm.d=1,"orange",IF(_xlpm.d=2,"red","check")))
)</f>
        <v>green</v>
      </c>
      <c r="DZ83" s="1" t="str">
        <f t="array" ref="DZ83">_xlfn.LET(
_xlpm.a,LOWER(TRIM(DS83&amp;"")),
_xlpm.b,LOWER(TRIM(DT83&amp;"")),
_xlpm.x,_xlfn.IFS(_xlpm.a="0",0,_xlpm.a="none",0,_xlpm.a="moderate",1,_xlpm.a="strong",2),
_xlpm.y,_xlfn.IFS(_xlpm.b="0",0,_xlpm.b="none",0,_xlpm.b="moderate",1,_xlpm.b="strong",2),
_xlpm.d,ABS(_xlpm.x-_xlpm.y),
IF(_xlpm.d=0,"green",IF(_xlpm.d=1,"orange",IF(_xlpm.d=2,"red","check")))
)</f>
        <v>green</v>
      </c>
      <c r="EA83" s="1" t="str">
        <f t="array" ref="EA83">_xlfn.LET(
_xlpm.a,LOWER(TRIM(DU83&amp;"")),
_xlpm.b,LOWER(TRIM(DV83&amp;"")),
_xlpm.x,_xlfn.IFS(_xlpm.a="0",0,_xlpm.a="none",0,_xlpm.a="moderate",1,_xlpm.a="strong",2),
_xlpm.y,_xlfn.IFS(_xlpm.b="0",0,_xlpm.b="none",0,_xlpm.b="moderate",1,_xlpm.b="strong",2),
_xlpm.d,ABS(_xlpm.x-_xlpm.y),
IF(_xlpm.d=0,"green",IF(_xlpm.d=1,"orange",IF(_xlpm.d=2,"red","check")))
)</f>
        <v>green</v>
      </c>
      <c r="EB83" s="1" t="str">
        <f t="array" ref="EB83">_xlfn.LET(
_xlpm.a,LOWER(TRIM(DW83&amp;"")),
_xlpm.b,LOWER(TRIM(DX83&amp;"")),
_xlpm.x,_xlfn.IFS(_xlpm.a="0",0,_xlpm.a="none",0,_xlpm.a="moderate",1,_xlpm.a="strong",2),
_xlpm.y,_xlfn.IFS(_xlpm.b="0",0,_xlpm.b="none",0,_xlpm.b="moderate",1,_xlpm.b="strong",2),
_xlpm.d,ABS(_xlpm.x-_xlpm.y),
IF(_xlpm.d=0,"green",IF(_xlpm.d=1,"orange",IF(_xlpm.d=2,"red","check")))
)</f>
        <v>green</v>
      </c>
      <c r="EC83"/>
      <c r="ED83"/>
      <c r="EE83"/>
      <c r="EF83"/>
      <c r="EG83"/>
      <c r="EH83"/>
      <c r="EI83"/>
      <c r="EJ83"/>
      <c r="EK83"/>
      <c r="EL83"/>
      <c r="EM83"/>
      <c r="EN83"/>
      <c r="EO83"/>
      <c r="EP83"/>
      <c r="EQ83"/>
      <c r="ER83"/>
      <c r="ES83" s="58" t="str">
        <f t="shared" si="33"/>
        <v/>
      </c>
      <c r="ET83" s="58" t="str">
        <f t="shared" si="34"/>
        <v>No</v>
      </c>
      <c r="EU83" s="59" t="str">
        <f t="shared" si="40"/>
        <v>Uninformative</v>
      </c>
      <c r="EV83" s="59" t="str">
        <f t="shared" si="41"/>
        <v>Uninformative</v>
      </c>
      <c r="EW83" s="59" t="str">
        <f t="shared" si="35"/>
        <v>Uninformative</v>
      </c>
      <c r="EX83" s="58" t="str">
        <f t="shared" si="36"/>
        <v>Uninformative</v>
      </c>
      <c r="EY83" s="58" t="str">
        <f t="shared" si="37"/>
        <v>Uninformative</v>
      </c>
      <c r="EZ83" s="58" t="str">
        <f t="shared" si="38"/>
        <v>Uninformative</v>
      </c>
      <c r="FA83" s="58" t="str">
        <f t="shared" si="39"/>
        <v>No</v>
      </c>
    </row>
    <row r="84" spans="1:157" ht="20" customHeight="1">
      <c r="A84" s="32"/>
      <c r="B84" s="32"/>
      <c r="C84" s="32"/>
      <c r="D84" s="32"/>
      <c r="E84" s="32"/>
      <c r="F84" s="32"/>
      <c r="G84" s="32"/>
      <c r="H84" s="32"/>
      <c r="I84" s="32"/>
      <c r="J84" s="32"/>
      <c r="K84" s="32"/>
      <c r="L84" s="32"/>
      <c r="M84" s="32"/>
      <c r="N84" s="32"/>
      <c r="O84" s="32"/>
      <c r="P84" s="32"/>
      <c r="Q84" s="32"/>
      <c r="R84" s="32"/>
      <c r="S84" s="32"/>
      <c r="T84" s="32"/>
      <c r="U84" s="32"/>
      <c r="V84" s="32"/>
      <c r="W84" s="32"/>
      <c r="X84"/>
      <c r="Y84"/>
      <c r="Z84"/>
      <c r="AA84"/>
      <c r="AB84"/>
      <c r="AC84"/>
      <c r="AD84"/>
      <c r="AE84"/>
      <c r="AG84"/>
      <c r="AH84"/>
      <c r="AI84"/>
      <c r="AJ84"/>
      <c r="AK84"/>
      <c r="AL84"/>
      <c r="AM84"/>
      <c r="AN84"/>
      <c r="AO84"/>
      <c r="AP84"/>
      <c r="AQ84"/>
      <c r="AR84"/>
      <c r="AS84"/>
      <c r="AT84"/>
      <c r="AU84"/>
      <c r="AV84"/>
      <c r="AW84"/>
      <c r="AX84"/>
      <c r="AY84"/>
      <c r="AZ84"/>
      <c r="BA84"/>
      <c r="BB84"/>
      <c r="BC84"/>
      <c r="BD84"/>
      <c r="BE84"/>
      <c r="BF84"/>
      <c r="BG84"/>
      <c r="BH84"/>
      <c r="BI84"/>
      <c r="BJ84"/>
      <c r="BK84"/>
      <c r="BL84"/>
      <c r="BQ84"/>
      <c r="BR84"/>
      <c r="BS84"/>
      <c r="BT84"/>
      <c r="BU84"/>
      <c r="BV84"/>
      <c r="BW84"/>
      <c r="BX84"/>
      <c r="BY84"/>
      <c r="BZ84"/>
      <c r="CB84"/>
      <c r="CC84"/>
      <c r="CD84"/>
      <c r="CF84"/>
      <c r="CG84"/>
      <c r="CH84"/>
      <c r="CJ84"/>
      <c r="CK84"/>
      <c r="CL84"/>
      <c r="CM84"/>
      <c r="CN84"/>
      <c r="CP84"/>
      <c r="CQ84"/>
      <c r="CR84"/>
      <c r="CS84"/>
      <c r="CT84"/>
      <c r="CU84"/>
      <c r="CV84"/>
      <c r="CW84"/>
      <c r="CX84"/>
      <c r="CY84"/>
      <c r="CZ84"/>
      <c r="DA84"/>
      <c r="DB84"/>
      <c r="DC84"/>
      <c r="DD84"/>
      <c r="DE84"/>
      <c r="DF84"/>
      <c r="DG84"/>
      <c r="DH84"/>
      <c r="DI84"/>
      <c r="DJ84"/>
      <c r="DK84"/>
      <c r="DL84"/>
      <c r="DM84"/>
      <c r="DN84"/>
      <c r="DO84"/>
      <c r="DP84"/>
      <c r="DQ84" s="1">
        <f t="shared" si="25"/>
        <v>0</v>
      </c>
      <c r="DR84" s="1">
        <f t="shared" si="26"/>
        <v>0</v>
      </c>
      <c r="DS84" s="1">
        <f t="shared" si="27"/>
        <v>0</v>
      </c>
      <c r="DT84" s="1">
        <f t="shared" si="28"/>
        <v>0</v>
      </c>
      <c r="DU84" s="1">
        <f t="shared" si="29"/>
        <v>0</v>
      </c>
      <c r="DV84" s="1">
        <f t="shared" si="30"/>
        <v>0</v>
      </c>
      <c r="DW84" s="1">
        <f t="shared" si="31"/>
        <v>0</v>
      </c>
      <c r="DX84" s="1">
        <f t="shared" si="32"/>
        <v>0</v>
      </c>
      <c r="DY84" s="1" t="str">
        <f t="array" ref="DY84">_xlfn.LET(
_xlpm.a,LOWER(TRIM(DQ84&amp;"")),
_xlpm.b,LOWER(TRIM(DR84&amp;"")),
_xlpm.x,_xlfn.IFS(_xlpm.a="0",0,_xlpm.a="none",0,_xlpm.a="moderate",1,_xlpm.a="strong",2),
_xlpm.y,_xlfn.IFS(_xlpm.b="0",0,_xlpm.b="none",0,_xlpm.b="moderate",1,_xlpm.b="strong",2),
_xlpm.d,ABS(_xlpm.x-_xlpm.y),
IF(_xlpm.d=0,"green",IF(_xlpm.d=1,"orange",IF(_xlpm.d=2,"red","check")))
)</f>
        <v>green</v>
      </c>
      <c r="DZ84" s="1" t="str">
        <f t="array" ref="DZ84">_xlfn.LET(
_xlpm.a,LOWER(TRIM(DS84&amp;"")),
_xlpm.b,LOWER(TRIM(DT84&amp;"")),
_xlpm.x,_xlfn.IFS(_xlpm.a="0",0,_xlpm.a="none",0,_xlpm.a="moderate",1,_xlpm.a="strong",2),
_xlpm.y,_xlfn.IFS(_xlpm.b="0",0,_xlpm.b="none",0,_xlpm.b="moderate",1,_xlpm.b="strong",2),
_xlpm.d,ABS(_xlpm.x-_xlpm.y),
IF(_xlpm.d=0,"green",IF(_xlpm.d=1,"orange",IF(_xlpm.d=2,"red","check")))
)</f>
        <v>green</v>
      </c>
      <c r="EA84" s="1" t="str">
        <f t="array" ref="EA84">_xlfn.LET(
_xlpm.a,LOWER(TRIM(DU84&amp;"")),
_xlpm.b,LOWER(TRIM(DV84&amp;"")),
_xlpm.x,_xlfn.IFS(_xlpm.a="0",0,_xlpm.a="none",0,_xlpm.a="moderate",1,_xlpm.a="strong",2),
_xlpm.y,_xlfn.IFS(_xlpm.b="0",0,_xlpm.b="none",0,_xlpm.b="moderate",1,_xlpm.b="strong",2),
_xlpm.d,ABS(_xlpm.x-_xlpm.y),
IF(_xlpm.d=0,"green",IF(_xlpm.d=1,"orange",IF(_xlpm.d=2,"red","check")))
)</f>
        <v>green</v>
      </c>
      <c r="EB84" s="1" t="str">
        <f t="array" ref="EB84">_xlfn.LET(
_xlpm.a,LOWER(TRIM(DW84&amp;"")),
_xlpm.b,LOWER(TRIM(DX84&amp;"")),
_xlpm.x,_xlfn.IFS(_xlpm.a="0",0,_xlpm.a="none",0,_xlpm.a="moderate",1,_xlpm.a="strong",2),
_xlpm.y,_xlfn.IFS(_xlpm.b="0",0,_xlpm.b="none",0,_xlpm.b="moderate",1,_xlpm.b="strong",2),
_xlpm.d,ABS(_xlpm.x-_xlpm.y),
IF(_xlpm.d=0,"green",IF(_xlpm.d=1,"orange",IF(_xlpm.d=2,"red","check")))
)</f>
        <v>green</v>
      </c>
      <c r="EC84"/>
      <c r="ED84"/>
      <c r="EE84"/>
      <c r="EF84"/>
      <c r="EG84"/>
      <c r="EH84"/>
      <c r="EI84"/>
      <c r="EJ84"/>
      <c r="EK84"/>
      <c r="EL84"/>
      <c r="EM84"/>
      <c r="EN84"/>
      <c r="EO84"/>
      <c r="EP84"/>
      <c r="EQ84"/>
      <c r="ER84"/>
      <c r="ES84" s="58" t="str">
        <f t="shared" si="33"/>
        <v/>
      </c>
      <c r="ET84" s="58" t="str">
        <f t="shared" si="34"/>
        <v>No</v>
      </c>
      <c r="EU84" s="59" t="str">
        <f t="shared" si="40"/>
        <v>Uninformative</v>
      </c>
      <c r="EV84" s="59" t="str">
        <f t="shared" si="41"/>
        <v>Uninformative</v>
      </c>
      <c r="EW84" s="59" t="str">
        <f t="shared" si="35"/>
        <v>Uninformative</v>
      </c>
      <c r="EX84" s="58" t="str">
        <f t="shared" si="36"/>
        <v>Uninformative</v>
      </c>
      <c r="EY84" s="58" t="str">
        <f t="shared" si="37"/>
        <v>Uninformative</v>
      </c>
      <c r="EZ84" s="58" t="str">
        <f t="shared" si="38"/>
        <v>Uninformative</v>
      </c>
      <c r="FA84" s="58" t="str">
        <f t="shared" si="39"/>
        <v>No</v>
      </c>
    </row>
    <row r="85" spans="1:157" ht="20" customHeight="1">
      <c r="A85" s="32"/>
      <c r="B85" s="32"/>
      <c r="C85" s="32"/>
      <c r="D85" s="32"/>
      <c r="E85" s="32"/>
      <c r="F85" s="32"/>
      <c r="G85" s="32"/>
      <c r="H85" s="32"/>
      <c r="I85" s="32"/>
      <c r="J85" s="32"/>
      <c r="K85" s="32"/>
      <c r="L85" s="32"/>
      <c r="M85" s="32"/>
      <c r="N85" s="32"/>
      <c r="O85" s="32"/>
      <c r="P85" s="32"/>
      <c r="Q85" s="32"/>
      <c r="R85" s="32"/>
      <c r="S85" s="32"/>
      <c r="T85" s="32"/>
      <c r="U85" s="32"/>
      <c r="V85" s="32"/>
      <c r="W85" s="32"/>
      <c r="X85"/>
      <c r="Y85"/>
      <c r="Z85"/>
      <c r="AA85"/>
      <c r="AB85"/>
      <c r="AC85"/>
      <c r="AD85"/>
      <c r="AE85"/>
      <c r="AG85"/>
      <c r="AH85"/>
      <c r="AI85"/>
      <c r="AJ85"/>
      <c r="AK85"/>
      <c r="AL85"/>
      <c r="AM85"/>
      <c r="AN85"/>
      <c r="AO85"/>
      <c r="AP85"/>
      <c r="AQ85"/>
      <c r="AR85"/>
      <c r="AS85"/>
      <c r="AT85"/>
      <c r="AU85"/>
      <c r="AV85"/>
      <c r="AW85"/>
      <c r="AX85"/>
      <c r="AY85"/>
      <c r="AZ85"/>
      <c r="BE85"/>
      <c r="BF85"/>
      <c r="BG85"/>
      <c r="BH85"/>
      <c r="BU85"/>
      <c r="BV85"/>
      <c r="BW85"/>
      <c r="BX85"/>
      <c r="BY85"/>
      <c r="BZ85"/>
      <c r="CB85"/>
      <c r="CC85"/>
      <c r="CD85"/>
      <c r="CF85"/>
      <c r="CG85"/>
      <c r="CH85"/>
      <c r="CJ85"/>
      <c r="CK85"/>
      <c r="CM85"/>
      <c r="CQ85"/>
      <c r="CR85"/>
      <c r="CS85"/>
      <c r="CT85"/>
      <c r="CU85"/>
      <c r="CV85"/>
      <c r="CW85"/>
      <c r="CX85"/>
      <c r="CY85"/>
      <c r="CZ85"/>
      <c r="DA85"/>
      <c r="DB85"/>
      <c r="DC85"/>
      <c r="DD85"/>
      <c r="DE85"/>
      <c r="DF85"/>
      <c r="DG85"/>
      <c r="DH85"/>
      <c r="DI85"/>
      <c r="DJ85"/>
      <c r="DK85"/>
      <c r="DL85"/>
      <c r="DM85"/>
      <c r="DN85"/>
      <c r="DO85"/>
      <c r="DP85"/>
      <c r="DQ85" s="1">
        <f t="shared" si="25"/>
        <v>0</v>
      </c>
      <c r="DR85" s="1">
        <f t="shared" si="26"/>
        <v>0</v>
      </c>
      <c r="DS85" s="1">
        <f t="shared" si="27"/>
        <v>0</v>
      </c>
      <c r="DT85" s="1">
        <f t="shared" si="28"/>
        <v>0</v>
      </c>
      <c r="DU85" s="1">
        <f t="shared" si="29"/>
        <v>0</v>
      </c>
      <c r="DV85" s="1">
        <f t="shared" si="30"/>
        <v>0</v>
      </c>
      <c r="DW85" s="1">
        <f t="shared" si="31"/>
        <v>0</v>
      </c>
      <c r="DX85" s="1">
        <f t="shared" si="32"/>
        <v>0</v>
      </c>
      <c r="DY85" s="1" t="str">
        <f t="array" ref="DY85">_xlfn.LET(
_xlpm.a,LOWER(TRIM(DQ85&amp;"")),
_xlpm.b,LOWER(TRIM(DR85&amp;"")),
_xlpm.x,_xlfn.IFS(_xlpm.a="0",0,_xlpm.a="none",0,_xlpm.a="moderate",1,_xlpm.a="strong",2),
_xlpm.y,_xlfn.IFS(_xlpm.b="0",0,_xlpm.b="none",0,_xlpm.b="moderate",1,_xlpm.b="strong",2),
_xlpm.d,ABS(_xlpm.x-_xlpm.y),
IF(_xlpm.d=0,"green",IF(_xlpm.d=1,"orange",IF(_xlpm.d=2,"red","check")))
)</f>
        <v>green</v>
      </c>
      <c r="DZ85" s="1" t="str">
        <f t="array" ref="DZ85">_xlfn.LET(
_xlpm.a,LOWER(TRIM(DS85&amp;"")),
_xlpm.b,LOWER(TRIM(DT85&amp;"")),
_xlpm.x,_xlfn.IFS(_xlpm.a="0",0,_xlpm.a="none",0,_xlpm.a="moderate",1,_xlpm.a="strong",2),
_xlpm.y,_xlfn.IFS(_xlpm.b="0",0,_xlpm.b="none",0,_xlpm.b="moderate",1,_xlpm.b="strong",2),
_xlpm.d,ABS(_xlpm.x-_xlpm.y),
IF(_xlpm.d=0,"green",IF(_xlpm.d=1,"orange",IF(_xlpm.d=2,"red","check")))
)</f>
        <v>green</v>
      </c>
      <c r="EA85" s="1" t="str">
        <f t="array" ref="EA85">_xlfn.LET(
_xlpm.a,LOWER(TRIM(DU85&amp;"")),
_xlpm.b,LOWER(TRIM(DV85&amp;"")),
_xlpm.x,_xlfn.IFS(_xlpm.a="0",0,_xlpm.a="none",0,_xlpm.a="moderate",1,_xlpm.a="strong",2),
_xlpm.y,_xlfn.IFS(_xlpm.b="0",0,_xlpm.b="none",0,_xlpm.b="moderate",1,_xlpm.b="strong",2),
_xlpm.d,ABS(_xlpm.x-_xlpm.y),
IF(_xlpm.d=0,"green",IF(_xlpm.d=1,"orange",IF(_xlpm.d=2,"red","check")))
)</f>
        <v>green</v>
      </c>
      <c r="EB85" s="1" t="str">
        <f t="array" ref="EB85">_xlfn.LET(
_xlpm.a,LOWER(TRIM(DW85&amp;"")),
_xlpm.b,LOWER(TRIM(DX85&amp;"")),
_xlpm.x,_xlfn.IFS(_xlpm.a="0",0,_xlpm.a="none",0,_xlpm.a="moderate",1,_xlpm.a="strong",2),
_xlpm.y,_xlfn.IFS(_xlpm.b="0",0,_xlpm.b="none",0,_xlpm.b="moderate",1,_xlpm.b="strong",2),
_xlpm.d,ABS(_xlpm.x-_xlpm.y),
IF(_xlpm.d=0,"green",IF(_xlpm.d=1,"orange",IF(_xlpm.d=2,"red","check")))
)</f>
        <v>green</v>
      </c>
      <c r="EC85"/>
      <c r="ED85"/>
      <c r="EE85"/>
      <c r="EF85"/>
      <c r="EG85"/>
      <c r="EH85"/>
      <c r="EI85"/>
      <c r="EJ85"/>
      <c r="EK85"/>
      <c r="EL85"/>
      <c r="EM85"/>
      <c r="EN85"/>
      <c r="EO85"/>
      <c r="EP85"/>
      <c r="EQ85"/>
      <c r="ER85"/>
      <c r="ES85" s="58" t="str">
        <f t="shared" si="33"/>
        <v/>
      </c>
      <c r="ET85" s="58" t="str">
        <f t="shared" si="34"/>
        <v>No</v>
      </c>
      <c r="EU85" s="59" t="str">
        <f t="shared" si="40"/>
        <v>Uninformative</v>
      </c>
      <c r="EV85" s="59" t="str">
        <f t="shared" si="41"/>
        <v>Uninformative</v>
      </c>
      <c r="EW85" s="59" t="str">
        <f t="shared" si="35"/>
        <v>Uninformative</v>
      </c>
      <c r="EX85" s="58" t="str">
        <f t="shared" si="36"/>
        <v>Uninformative</v>
      </c>
      <c r="EY85" s="58" t="str">
        <f t="shared" si="37"/>
        <v>Uninformative</v>
      </c>
      <c r="EZ85" s="58" t="str">
        <f t="shared" si="38"/>
        <v>Uninformative</v>
      </c>
      <c r="FA85" s="58" t="str">
        <f t="shared" si="39"/>
        <v>No</v>
      </c>
    </row>
    <row r="86" spans="1:157" ht="20" customHeight="1">
      <c r="A86" s="32"/>
      <c r="B86" s="32"/>
      <c r="C86" s="32"/>
      <c r="D86" s="32"/>
      <c r="E86" s="32"/>
      <c r="F86" s="32"/>
      <c r="G86" s="32"/>
      <c r="H86" s="32"/>
      <c r="I86" s="32"/>
      <c r="J86" s="32"/>
      <c r="K86" s="32"/>
      <c r="L86" s="32"/>
      <c r="M86" s="32"/>
      <c r="N86" s="32"/>
      <c r="O86" s="32"/>
      <c r="P86" s="32"/>
      <c r="Q86" s="32"/>
      <c r="R86" s="32"/>
      <c r="S86" s="32"/>
      <c r="T86" s="32"/>
      <c r="U86" s="32"/>
      <c r="V86" s="32"/>
      <c r="W86" s="32"/>
      <c r="X86"/>
      <c r="Y86"/>
      <c r="Z86"/>
      <c r="AA86"/>
      <c r="AB86"/>
      <c r="AC86"/>
      <c r="AD86"/>
      <c r="AE86"/>
      <c r="AG86"/>
      <c r="AH86"/>
      <c r="AI86"/>
      <c r="AJ86"/>
      <c r="AK86"/>
      <c r="AL86"/>
      <c r="AM86"/>
      <c r="AN86"/>
      <c r="AO86"/>
      <c r="AP86"/>
      <c r="AQ86"/>
      <c r="AR86"/>
      <c r="AS86"/>
      <c r="AT86"/>
      <c r="AU86"/>
      <c r="AV86"/>
      <c r="AW86"/>
      <c r="AX86"/>
      <c r="AY86"/>
      <c r="AZ86"/>
      <c r="BA86"/>
      <c r="BB86"/>
      <c r="BC86"/>
      <c r="BD86"/>
      <c r="BE86"/>
      <c r="BF86"/>
      <c r="BG86"/>
      <c r="BH86"/>
      <c r="BI86"/>
      <c r="BJ86"/>
      <c r="BK86"/>
      <c r="BL86"/>
      <c r="BQ86"/>
      <c r="BR86"/>
      <c r="BS86"/>
      <c r="BT86"/>
      <c r="BU86"/>
      <c r="BV86"/>
      <c r="BW86"/>
      <c r="BX86"/>
      <c r="BY86"/>
      <c r="BZ86"/>
      <c r="CB86"/>
      <c r="CC86"/>
      <c r="CD86"/>
      <c r="CF86"/>
      <c r="CG86"/>
      <c r="CH86"/>
      <c r="CJ86"/>
      <c r="CK86"/>
      <c r="CL86"/>
      <c r="CM86"/>
      <c r="CN86"/>
      <c r="CP86"/>
      <c r="CQ86"/>
      <c r="CR86"/>
      <c r="CS86"/>
      <c r="CT86"/>
      <c r="CU86"/>
      <c r="CV86"/>
      <c r="CW86"/>
      <c r="CX86"/>
      <c r="CY86"/>
      <c r="CZ86"/>
      <c r="DA86"/>
      <c r="DB86"/>
      <c r="DC86"/>
      <c r="DD86"/>
      <c r="DE86"/>
      <c r="DF86"/>
      <c r="DG86"/>
      <c r="DH86"/>
      <c r="DI86"/>
      <c r="DJ86"/>
      <c r="DK86"/>
      <c r="DL86"/>
      <c r="DM86"/>
      <c r="DN86"/>
      <c r="DO86"/>
      <c r="DP86"/>
      <c r="DQ86" s="1">
        <f t="shared" si="25"/>
        <v>0</v>
      </c>
      <c r="DR86" s="1">
        <f t="shared" si="26"/>
        <v>0</v>
      </c>
      <c r="DS86" s="1">
        <f t="shared" si="27"/>
        <v>0</v>
      </c>
      <c r="DT86" s="1">
        <f t="shared" si="28"/>
        <v>0</v>
      </c>
      <c r="DU86" s="1">
        <f t="shared" si="29"/>
        <v>0</v>
      </c>
      <c r="DV86" s="1">
        <f t="shared" si="30"/>
        <v>0</v>
      </c>
      <c r="DW86" s="1">
        <f t="shared" si="31"/>
        <v>0</v>
      </c>
      <c r="DX86" s="1">
        <f t="shared" si="32"/>
        <v>0</v>
      </c>
      <c r="DY86" s="1" t="str">
        <f t="array" ref="DY86">_xlfn.LET(
_xlpm.a,LOWER(TRIM(DQ86&amp;"")),
_xlpm.b,LOWER(TRIM(DR86&amp;"")),
_xlpm.x,_xlfn.IFS(_xlpm.a="0",0,_xlpm.a="none",0,_xlpm.a="moderate",1,_xlpm.a="strong",2),
_xlpm.y,_xlfn.IFS(_xlpm.b="0",0,_xlpm.b="none",0,_xlpm.b="moderate",1,_xlpm.b="strong",2),
_xlpm.d,ABS(_xlpm.x-_xlpm.y),
IF(_xlpm.d=0,"green",IF(_xlpm.d=1,"orange",IF(_xlpm.d=2,"red","check")))
)</f>
        <v>green</v>
      </c>
      <c r="DZ86" s="1" t="str">
        <f t="array" ref="DZ86">_xlfn.LET(
_xlpm.a,LOWER(TRIM(DS86&amp;"")),
_xlpm.b,LOWER(TRIM(DT86&amp;"")),
_xlpm.x,_xlfn.IFS(_xlpm.a="0",0,_xlpm.a="none",0,_xlpm.a="moderate",1,_xlpm.a="strong",2),
_xlpm.y,_xlfn.IFS(_xlpm.b="0",0,_xlpm.b="none",0,_xlpm.b="moderate",1,_xlpm.b="strong",2),
_xlpm.d,ABS(_xlpm.x-_xlpm.y),
IF(_xlpm.d=0,"green",IF(_xlpm.d=1,"orange",IF(_xlpm.d=2,"red","check")))
)</f>
        <v>green</v>
      </c>
      <c r="EA86" s="1" t="str">
        <f t="array" ref="EA86">_xlfn.LET(
_xlpm.a,LOWER(TRIM(DU86&amp;"")),
_xlpm.b,LOWER(TRIM(DV86&amp;"")),
_xlpm.x,_xlfn.IFS(_xlpm.a="0",0,_xlpm.a="none",0,_xlpm.a="moderate",1,_xlpm.a="strong",2),
_xlpm.y,_xlfn.IFS(_xlpm.b="0",0,_xlpm.b="none",0,_xlpm.b="moderate",1,_xlpm.b="strong",2),
_xlpm.d,ABS(_xlpm.x-_xlpm.y),
IF(_xlpm.d=0,"green",IF(_xlpm.d=1,"orange",IF(_xlpm.d=2,"red","check")))
)</f>
        <v>green</v>
      </c>
      <c r="EB86" s="1" t="str">
        <f t="array" ref="EB86">_xlfn.LET(
_xlpm.a,LOWER(TRIM(DW86&amp;"")),
_xlpm.b,LOWER(TRIM(DX86&amp;"")),
_xlpm.x,_xlfn.IFS(_xlpm.a="0",0,_xlpm.a="none",0,_xlpm.a="moderate",1,_xlpm.a="strong",2),
_xlpm.y,_xlfn.IFS(_xlpm.b="0",0,_xlpm.b="none",0,_xlpm.b="moderate",1,_xlpm.b="strong",2),
_xlpm.d,ABS(_xlpm.x-_xlpm.y),
IF(_xlpm.d=0,"green",IF(_xlpm.d=1,"orange",IF(_xlpm.d=2,"red","check")))
)</f>
        <v>green</v>
      </c>
      <c r="EC86"/>
      <c r="ED86"/>
      <c r="EE86"/>
      <c r="EF86"/>
      <c r="EG86"/>
      <c r="EH86"/>
      <c r="EI86"/>
      <c r="EJ86"/>
      <c r="EK86"/>
      <c r="EL86"/>
      <c r="EM86"/>
      <c r="EN86"/>
      <c r="EO86"/>
      <c r="EP86"/>
      <c r="EQ86"/>
      <c r="ER86"/>
      <c r="ES86" s="58" t="str">
        <f t="shared" si="33"/>
        <v/>
      </c>
      <c r="ET86" s="58" t="str">
        <f t="shared" si="34"/>
        <v>No</v>
      </c>
      <c r="EU86" s="59" t="str">
        <f t="shared" si="40"/>
        <v>Uninformative</v>
      </c>
      <c r="EV86" s="59" t="str">
        <f t="shared" si="41"/>
        <v>Uninformative</v>
      </c>
      <c r="EW86" s="59" t="str">
        <f t="shared" si="35"/>
        <v>Uninformative</v>
      </c>
      <c r="EX86" s="58" t="str">
        <f t="shared" si="36"/>
        <v>Uninformative</v>
      </c>
      <c r="EY86" s="58" t="str">
        <f t="shared" si="37"/>
        <v>Uninformative</v>
      </c>
      <c r="EZ86" s="58" t="str">
        <f t="shared" si="38"/>
        <v>Uninformative</v>
      </c>
      <c r="FA86" s="58" t="str">
        <f t="shared" si="39"/>
        <v>No</v>
      </c>
    </row>
    <row r="87" spans="1:157" ht="20" customHeight="1">
      <c r="A87" s="32"/>
      <c r="B87" s="32"/>
      <c r="C87" s="32"/>
      <c r="D87" s="32"/>
      <c r="E87" s="32"/>
      <c r="F87" s="32"/>
      <c r="G87" s="32"/>
      <c r="H87" s="32"/>
      <c r="I87" s="32"/>
      <c r="J87" s="32"/>
      <c r="K87" s="32"/>
      <c r="L87" s="32"/>
      <c r="M87" s="32"/>
      <c r="N87" s="32"/>
      <c r="O87" s="32"/>
      <c r="P87" s="32"/>
      <c r="Q87" s="32"/>
      <c r="R87" s="32"/>
      <c r="S87" s="32"/>
      <c r="T87" s="32"/>
      <c r="U87" s="32"/>
      <c r="V87" s="32"/>
      <c r="W87" s="32"/>
      <c r="X87"/>
      <c r="Y87"/>
      <c r="Z87"/>
      <c r="AA87"/>
      <c r="AB87"/>
      <c r="AC87"/>
      <c r="AD87"/>
      <c r="AE87"/>
      <c r="AG87"/>
      <c r="AH87"/>
      <c r="AI87"/>
      <c r="AJ87"/>
      <c r="AK87"/>
      <c r="AL87"/>
      <c r="AM87"/>
      <c r="AN87"/>
      <c r="AO87"/>
      <c r="AP87"/>
      <c r="AQ87"/>
      <c r="AR87"/>
      <c r="AS87"/>
      <c r="AT87"/>
      <c r="AU87"/>
      <c r="AV87"/>
      <c r="AW87"/>
      <c r="AX87"/>
      <c r="AY87"/>
      <c r="AZ87"/>
      <c r="BA87"/>
      <c r="BB87"/>
      <c r="BC87"/>
      <c r="BD87"/>
      <c r="BE87"/>
      <c r="BF87"/>
      <c r="BG87"/>
      <c r="BH87"/>
      <c r="BI87"/>
      <c r="BJ87"/>
      <c r="BK87"/>
      <c r="BL87"/>
      <c r="BQ87"/>
      <c r="BR87"/>
      <c r="BS87"/>
      <c r="BT87"/>
      <c r="BU87"/>
      <c r="BV87"/>
      <c r="BW87"/>
      <c r="BX87"/>
      <c r="BY87"/>
      <c r="BZ87"/>
      <c r="CB87"/>
      <c r="CC87"/>
      <c r="CD87"/>
      <c r="CF87"/>
      <c r="CG87"/>
      <c r="CH87"/>
      <c r="CJ87"/>
      <c r="CK87"/>
      <c r="CL87"/>
      <c r="CM87"/>
      <c r="CN87"/>
      <c r="CP87"/>
      <c r="CQ87"/>
      <c r="CR87"/>
      <c r="CS87"/>
      <c r="CT87"/>
      <c r="CU87"/>
      <c r="CV87"/>
      <c r="CW87" s="16"/>
      <c r="CX87"/>
      <c r="CY87"/>
      <c r="CZ87"/>
      <c r="DA87"/>
      <c r="DB87"/>
      <c r="DC87"/>
      <c r="DD87"/>
      <c r="DE87"/>
      <c r="DF87"/>
      <c r="DG87"/>
      <c r="DH87"/>
      <c r="DI87"/>
      <c r="DJ87"/>
      <c r="DK87"/>
      <c r="DL87"/>
      <c r="DM87"/>
      <c r="DN87"/>
      <c r="DO87"/>
      <c r="DP87"/>
      <c r="DQ87" s="1">
        <f t="shared" si="25"/>
        <v>0</v>
      </c>
      <c r="DR87" s="1">
        <f t="shared" si="26"/>
        <v>0</v>
      </c>
      <c r="DS87" s="1">
        <f t="shared" si="27"/>
        <v>0</v>
      </c>
      <c r="DT87" s="1">
        <f t="shared" si="28"/>
        <v>0</v>
      </c>
      <c r="DU87" s="1">
        <f t="shared" si="29"/>
        <v>0</v>
      </c>
      <c r="DV87" s="1">
        <f t="shared" si="30"/>
        <v>0</v>
      </c>
      <c r="DW87" s="1">
        <f t="shared" si="31"/>
        <v>0</v>
      </c>
      <c r="DX87" s="1">
        <f t="shared" si="32"/>
        <v>0</v>
      </c>
      <c r="DY87" s="1" t="str">
        <f t="array" ref="DY87">_xlfn.LET(
_xlpm.a,LOWER(TRIM(DQ87&amp;"")),
_xlpm.b,LOWER(TRIM(DR87&amp;"")),
_xlpm.x,_xlfn.IFS(_xlpm.a="0",0,_xlpm.a="none",0,_xlpm.a="moderate",1,_xlpm.a="strong",2),
_xlpm.y,_xlfn.IFS(_xlpm.b="0",0,_xlpm.b="none",0,_xlpm.b="moderate",1,_xlpm.b="strong",2),
_xlpm.d,ABS(_xlpm.x-_xlpm.y),
IF(_xlpm.d=0,"green",IF(_xlpm.d=1,"orange",IF(_xlpm.d=2,"red","check")))
)</f>
        <v>green</v>
      </c>
      <c r="DZ87" s="1" t="str">
        <f t="array" ref="DZ87">_xlfn.LET(
_xlpm.a,LOWER(TRIM(DS87&amp;"")),
_xlpm.b,LOWER(TRIM(DT87&amp;"")),
_xlpm.x,_xlfn.IFS(_xlpm.a="0",0,_xlpm.a="none",0,_xlpm.a="moderate",1,_xlpm.a="strong",2),
_xlpm.y,_xlfn.IFS(_xlpm.b="0",0,_xlpm.b="none",0,_xlpm.b="moderate",1,_xlpm.b="strong",2),
_xlpm.d,ABS(_xlpm.x-_xlpm.y),
IF(_xlpm.d=0,"green",IF(_xlpm.d=1,"orange",IF(_xlpm.d=2,"red","check")))
)</f>
        <v>green</v>
      </c>
      <c r="EA87" s="1" t="str">
        <f t="array" ref="EA87">_xlfn.LET(
_xlpm.a,LOWER(TRIM(DU87&amp;"")),
_xlpm.b,LOWER(TRIM(DV87&amp;"")),
_xlpm.x,_xlfn.IFS(_xlpm.a="0",0,_xlpm.a="none",0,_xlpm.a="moderate",1,_xlpm.a="strong",2),
_xlpm.y,_xlfn.IFS(_xlpm.b="0",0,_xlpm.b="none",0,_xlpm.b="moderate",1,_xlpm.b="strong",2),
_xlpm.d,ABS(_xlpm.x-_xlpm.y),
IF(_xlpm.d=0,"green",IF(_xlpm.d=1,"orange",IF(_xlpm.d=2,"red","check")))
)</f>
        <v>green</v>
      </c>
      <c r="EB87" s="1" t="str">
        <f t="array" ref="EB87">_xlfn.LET(
_xlpm.a,LOWER(TRIM(DW87&amp;"")),
_xlpm.b,LOWER(TRIM(DX87&amp;"")),
_xlpm.x,_xlfn.IFS(_xlpm.a="0",0,_xlpm.a="none",0,_xlpm.a="moderate",1,_xlpm.a="strong",2),
_xlpm.y,_xlfn.IFS(_xlpm.b="0",0,_xlpm.b="none",0,_xlpm.b="moderate",1,_xlpm.b="strong",2),
_xlpm.d,ABS(_xlpm.x-_xlpm.y),
IF(_xlpm.d=0,"green",IF(_xlpm.d=1,"orange",IF(_xlpm.d=2,"red","check")))
)</f>
        <v>green</v>
      </c>
      <c r="EC87"/>
      <c r="ED87"/>
      <c r="EE87"/>
      <c r="EF87"/>
      <c r="EG87"/>
      <c r="EH87"/>
      <c r="EI87"/>
      <c r="EJ87"/>
      <c r="EK87"/>
      <c r="EL87"/>
      <c r="EM87"/>
      <c r="EN87"/>
      <c r="EO87"/>
      <c r="EP87"/>
      <c r="EQ87"/>
      <c r="ER87"/>
      <c r="ES87" s="58" t="str">
        <f t="shared" si="33"/>
        <v/>
      </c>
      <c r="ET87" s="58" t="str">
        <f t="shared" si="34"/>
        <v>No</v>
      </c>
      <c r="EU87" s="59" t="str">
        <f t="shared" si="40"/>
        <v>Uninformative</v>
      </c>
      <c r="EV87" s="59" t="str">
        <f t="shared" si="41"/>
        <v>Uninformative</v>
      </c>
      <c r="EW87" s="59" t="str">
        <f t="shared" si="35"/>
        <v>Uninformative</v>
      </c>
      <c r="EX87" s="58" t="str">
        <f t="shared" si="36"/>
        <v>Uninformative</v>
      </c>
      <c r="EY87" s="58" t="str">
        <f t="shared" si="37"/>
        <v>Uninformative</v>
      </c>
      <c r="EZ87" s="58" t="str">
        <f t="shared" si="38"/>
        <v>Uninformative</v>
      </c>
      <c r="FA87" s="58" t="str">
        <f t="shared" si="39"/>
        <v>No</v>
      </c>
    </row>
    <row r="88" spans="1:157" ht="20" customHeight="1">
      <c r="A88" s="32"/>
      <c r="B88" s="32"/>
      <c r="C88" s="32"/>
      <c r="D88" s="32"/>
      <c r="E88" s="32"/>
      <c r="F88" s="32"/>
      <c r="G88" s="32"/>
      <c r="H88" s="32"/>
      <c r="I88" s="32"/>
      <c r="J88" s="32"/>
      <c r="K88" s="32"/>
      <c r="L88" s="32"/>
      <c r="M88" s="32"/>
      <c r="N88" s="32"/>
      <c r="O88" s="32"/>
      <c r="P88" s="32"/>
      <c r="Q88" s="32"/>
      <c r="R88" s="32"/>
      <c r="S88" s="32"/>
      <c r="T88" s="32"/>
      <c r="U88" s="32"/>
      <c r="V88" s="32"/>
      <c r="W88" s="32"/>
      <c r="X88"/>
      <c r="Y88"/>
      <c r="Z88"/>
      <c r="AA88"/>
      <c r="AB88"/>
      <c r="AC88"/>
      <c r="AD88"/>
      <c r="AE88"/>
      <c r="AG88"/>
      <c r="AH88"/>
      <c r="AI88"/>
      <c r="AJ88"/>
      <c r="AK88"/>
      <c r="AL88"/>
      <c r="AM88"/>
      <c r="AN88"/>
      <c r="AO88"/>
      <c r="AP88"/>
      <c r="AQ88"/>
      <c r="AR88"/>
      <c r="AS88"/>
      <c r="AT88"/>
      <c r="AU88"/>
      <c r="AV88"/>
      <c r="AW88"/>
      <c r="AX88"/>
      <c r="AY88"/>
      <c r="AZ88"/>
      <c r="BA88"/>
      <c r="BB88"/>
      <c r="BC88"/>
      <c r="BD88"/>
      <c r="BE88"/>
      <c r="BF88"/>
      <c r="BG88"/>
      <c r="BH88"/>
      <c r="BI88"/>
      <c r="BJ88"/>
      <c r="BK88"/>
      <c r="BL88"/>
      <c r="BQ88"/>
      <c r="BR88"/>
      <c r="BS88"/>
      <c r="BT88"/>
      <c r="BU88"/>
      <c r="BV88"/>
      <c r="BW88"/>
      <c r="BX88"/>
      <c r="BY88"/>
      <c r="BZ88"/>
      <c r="CB88"/>
      <c r="CC88"/>
      <c r="CD88"/>
      <c r="CF88"/>
      <c r="CG88"/>
      <c r="CH88"/>
      <c r="CJ88"/>
      <c r="CK88"/>
      <c r="CL88"/>
      <c r="CM88"/>
      <c r="CN88"/>
      <c r="CP88"/>
      <c r="CQ88"/>
      <c r="CR88"/>
      <c r="CS88"/>
      <c r="CT88"/>
      <c r="CU88"/>
      <c r="CV88"/>
      <c r="CW88"/>
      <c r="CX88"/>
      <c r="CY88"/>
      <c r="CZ88"/>
      <c r="DA88"/>
      <c r="DB88"/>
      <c r="DC88"/>
      <c r="DD88"/>
      <c r="DE88"/>
      <c r="DF88"/>
      <c r="DG88"/>
      <c r="DH88"/>
      <c r="DI88"/>
      <c r="DJ88"/>
      <c r="DK88"/>
      <c r="DL88"/>
      <c r="DM88"/>
      <c r="DN88"/>
      <c r="DO88"/>
      <c r="DP88"/>
      <c r="DQ88" s="1">
        <f t="shared" si="25"/>
        <v>0</v>
      </c>
      <c r="DR88" s="1">
        <f t="shared" si="26"/>
        <v>0</v>
      </c>
      <c r="DS88" s="1">
        <f t="shared" si="27"/>
        <v>0</v>
      </c>
      <c r="DT88" s="1">
        <f t="shared" si="28"/>
        <v>0</v>
      </c>
      <c r="DU88" s="1">
        <f t="shared" si="29"/>
        <v>0</v>
      </c>
      <c r="DV88" s="1">
        <f t="shared" si="30"/>
        <v>0</v>
      </c>
      <c r="DW88" s="1">
        <f t="shared" si="31"/>
        <v>0</v>
      </c>
      <c r="DX88" s="1">
        <f t="shared" si="32"/>
        <v>0</v>
      </c>
      <c r="DY88" s="1" t="str">
        <f t="array" ref="DY88">_xlfn.LET(
_xlpm.a,LOWER(TRIM(DQ88&amp;"")),
_xlpm.b,LOWER(TRIM(DR88&amp;"")),
_xlpm.x,_xlfn.IFS(_xlpm.a="0",0,_xlpm.a="none",0,_xlpm.a="moderate",1,_xlpm.a="strong",2),
_xlpm.y,_xlfn.IFS(_xlpm.b="0",0,_xlpm.b="none",0,_xlpm.b="moderate",1,_xlpm.b="strong",2),
_xlpm.d,ABS(_xlpm.x-_xlpm.y),
IF(_xlpm.d=0,"green",IF(_xlpm.d=1,"orange",IF(_xlpm.d=2,"red","check")))
)</f>
        <v>green</v>
      </c>
      <c r="DZ88" s="1" t="str">
        <f t="array" ref="DZ88">_xlfn.LET(
_xlpm.a,LOWER(TRIM(DS88&amp;"")),
_xlpm.b,LOWER(TRIM(DT88&amp;"")),
_xlpm.x,_xlfn.IFS(_xlpm.a="0",0,_xlpm.a="none",0,_xlpm.a="moderate",1,_xlpm.a="strong",2),
_xlpm.y,_xlfn.IFS(_xlpm.b="0",0,_xlpm.b="none",0,_xlpm.b="moderate",1,_xlpm.b="strong",2),
_xlpm.d,ABS(_xlpm.x-_xlpm.y),
IF(_xlpm.d=0,"green",IF(_xlpm.d=1,"orange",IF(_xlpm.d=2,"red","check")))
)</f>
        <v>green</v>
      </c>
      <c r="EA88" s="1" t="str">
        <f t="array" ref="EA88">_xlfn.LET(
_xlpm.a,LOWER(TRIM(DU88&amp;"")),
_xlpm.b,LOWER(TRIM(DV88&amp;"")),
_xlpm.x,_xlfn.IFS(_xlpm.a="0",0,_xlpm.a="none",0,_xlpm.a="moderate",1,_xlpm.a="strong",2),
_xlpm.y,_xlfn.IFS(_xlpm.b="0",0,_xlpm.b="none",0,_xlpm.b="moderate",1,_xlpm.b="strong",2),
_xlpm.d,ABS(_xlpm.x-_xlpm.y),
IF(_xlpm.d=0,"green",IF(_xlpm.d=1,"orange",IF(_xlpm.d=2,"red","check")))
)</f>
        <v>green</v>
      </c>
      <c r="EB88" s="1" t="str">
        <f t="array" ref="EB88">_xlfn.LET(
_xlpm.a,LOWER(TRIM(DW88&amp;"")),
_xlpm.b,LOWER(TRIM(DX88&amp;"")),
_xlpm.x,_xlfn.IFS(_xlpm.a="0",0,_xlpm.a="none",0,_xlpm.a="moderate",1,_xlpm.a="strong",2),
_xlpm.y,_xlfn.IFS(_xlpm.b="0",0,_xlpm.b="none",0,_xlpm.b="moderate",1,_xlpm.b="strong",2),
_xlpm.d,ABS(_xlpm.x-_xlpm.y),
IF(_xlpm.d=0,"green",IF(_xlpm.d=1,"orange",IF(_xlpm.d=2,"red","check")))
)</f>
        <v>green</v>
      </c>
      <c r="EC88"/>
      <c r="ED88"/>
      <c r="EE88"/>
      <c r="EF88"/>
      <c r="EG88"/>
      <c r="EH88"/>
      <c r="EI88"/>
      <c r="EJ88"/>
      <c r="EK88"/>
      <c r="EL88"/>
      <c r="EM88"/>
      <c r="EN88"/>
      <c r="EO88"/>
      <c r="EP88"/>
      <c r="EQ88"/>
      <c r="ER88"/>
      <c r="ES88" s="58" t="str">
        <f t="shared" si="33"/>
        <v/>
      </c>
      <c r="ET88" s="58" t="str">
        <f t="shared" si="34"/>
        <v>No</v>
      </c>
      <c r="EU88" s="59" t="str">
        <f t="shared" si="40"/>
        <v>Uninformative</v>
      </c>
      <c r="EV88" s="59" t="str">
        <f t="shared" si="41"/>
        <v>Uninformative</v>
      </c>
      <c r="EW88" s="59" t="str">
        <f t="shared" si="35"/>
        <v>Uninformative</v>
      </c>
      <c r="EX88" s="58" t="str">
        <f t="shared" si="36"/>
        <v>Uninformative</v>
      </c>
      <c r="EY88" s="58" t="str">
        <f t="shared" si="37"/>
        <v>Uninformative</v>
      </c>
      <c r="EZ88" s="58" t="str">
        <f t="shared" si="38"/>
        <v>Uninformative</v>
      </c>
      <c r="FA88" s="58" t="str">
        <f t="shared" si="39"/>
        <v>No</v>
      </c>
    </row>
    <row r="89" spans="1:157" ht="20" customHeight="1">
      <c r="A89" s="32"/>
      <c r="B89" s="32"/>
      <c r="C89" s="32"/>
      <c r="D89" s="32"/>
      <c r="E89" s="32"/>
      <c r="F89" s="32"/>
      <c r="G89" s="32"/>
      <c r="H89" s="32"/>
      <c r="I89" s="32"/>
      <c r="J89" s="32"/>
      <c r="K89" s="32"/>
      <c r="L89" s="32"/>
      <c r="M89" s="32"/>
      <c r="N89" s="32"/>
      <c r="O89" s="32"/>
      <c r="P89" s="32"/>
      <c r="Q89" s="32"/>
      <c r="R89" s="32"/>
      <c r="S89" s="32"/>
      <c r="T89" s="32"/>
      <c r="U89" s="32"/>
      <c r="V89" s="32"/>
      <c r="W89" s="32"/>
      <c r="X89"/>
      <c r="Y89"/>
      <c r="Z89"/>
      <c r="AA89"/>
      <c r="AB89"/>
      <c r="AC89"/>
      <c r="AD89"/>
      <c r="AE89"/>
      <c r="AG89"/>
      <c r="AH89"/>
      <c r="AI89"/>
      <c r="AJ89"/>
      <c r="AK89"/>
      <c r="AL89"/>
      <c r="AM89"/>
      <c r="AN89"/>
      <c r="AO89"/>
      <c r="AP89"/>
      <c r="AQ89"/>
      <c r="AR89"/>
      <c r="AS89"/>
      <c r="AT89"/>
      <c r="AU89"/>
      <c r="AV89"/>
      <c r="AW89"/>
      <c r="AX89"/>
      <c r="AY89"/>
      <c r="AZ89"/>
      <c r="BA89"/>
      <c r="BB89"/>
      <c r="BC89"/>
      <c r="BD89"/>
      <c r="BE89"/>
      <c r="BF89"/>
      <c r="BG89"/>
      <c r="BH89"/>
      <c r="BI89"/>
      <c r="BJ89"/>
      <c r="BK89"/>
      <c r="BL89"/>
      <c r="BQ89"/>
      <c r="BR89"/>
      <c r="BS89"/>
      <c r="BT89"/>
      <c r="BU89"/>
      <c r="BV89"/>
      <c r="BW89"/>
      <c r="BX89"/>
      <c r="BY89"/>
      <c r="BZ89"/>
      <c r="CB89"/>
      <c r="CC89"/>
      <c r="CD89"/>
      <c r="CF89"/>
      <c r="CG89"/>
      <c r="CH89"/>
      <c r="CJ89"/>
      <c r="CK89"/>
      <c r="CL89"/>
      <c r="CM89"/>
      <c r="CN89"/>
      <c r="CP89"/>
      <c r="CQ89"/>
      <c r="CR89"/>
      <c r="CS89"/>
      <c r="CT89"/>
      <c r="CU89"/>
      <c r="CV89"/>
      <c r="CW89"/>
      <c r="CX89"/>
      <c r="CY89"/>
      <c r="CZ89"/>
      <c r="DA89"/>
      <c r="DB89"/>
      <c r="DC89"/>
      <c r="DD89"/>
      <c r="DE89"/>
      <c r="DF89"/>
      <c r="DG89"/>
      <c r="DH89"/>
      <c r="DI89"/>
      <c r="DJ89"/>
      <c r="DK89"/>
      <c r="DL89"/>
      <c r="DM89"/>
      <c r="DN89"/>
      <c r="DO89"/>
      <c r="DP89"/>
      <c r="DQ89" s="1">
        <f t="shared" si="25"/>
        <v>0</v>
      </c>
      <c r="DR89" s="1">
        <f t="shared" si="26"/>
        <v>0</v>
      </c>
      <c r="DS89" s="1">
        <f t="shared" si="27"/>
        <v>0</v>
      </c>
      <c r="DT89" s="1">
        <f t="shared" si="28"/>
        <v>0</v>
      </c>
      <c r="DU89" s="1">
        <f t="shared" si="29"/>
        <v>0</v>
      </c>
      <c r="DV89" s="1">
        <f t="shared" si="30"/>
        <v>0</v>
      </c>
      <c r="DW89" s="1">
        <f t="shared" si="31"/>
        <v>0</v>
      </c>
      <c r="DX89" s="1">
        <f t="shared" si="32"/>
        <v>0</v>
      </c>
      <c r="DY89" s="1" t="str">
        <f t="array" ref="DY89">_xlfn.LET(
_xlpm.a,LOWER(TRIM(DQ89&amp;"")),
_xlpm.b,LOWER(TRIM(DR89&amp;"")),
_xlpm.x,_xlfn.IFS(_xlpm.a="0",0,_xlpm.a="none",0,_xlpm.a="moderate",1,_xlpm.a="strong",2),
_xlpm.y,_xlfn.IFS(_xlpm.b="0",0,_xlpm.b="none",0,_xlpm.b="moderate",1,_xlpm.b="strong",2),
_xlpm.d,ABS(_xlpm.x-_xlpm.y),
IF(_xlpm.d=0,"green",IF(_xlpm.d=1,"orange",IF(_xlpm.d=2,"red","check")))
)</f>
        <v>green</v>
      </c>
      <c r="DZ89" s="1" t="str">
        <f t="array" ref="DZ89">_xlfn.LET(
_xlpm.a,LOWER(TRIM(DS89&amp;"")),
_xlpm.b,LOWER(TRIM(DT89&amp;"")),
_xlpm.x,_xlfn.IFS(_xlpm.a="0",0,_xlpm.a="none",0,_xlpm.a="moderate",1,_xlpm.a="strong",2),
_xlpm.y,_xlfn.IFS(_xlpm.b="0",0,_xlpm.b="none",0,_xlpm.b="moderate",1,_xlpm.b="strong",2),
_xlpm.d,ABS(_xlpm.x-_xlpm.y),
IF(_xlpm.d=0,"green",IF(_xlpm.d=1,"orange",IF(_xlpm.d=2,"red","check")))
)</f>
        <v>green</v>
      </c>
      <c r="EA89" s="1" t="str">
        <f t="array" ref="EA89">_xlfn.LET(
_xlpm.a,LOWER(TRIM(DU89&amp;"")),
_xlpm.b,LOWER(TRIM(DV89&amp;"")),
_xlpm.x,_xlfn.IFS(_xlpm.a="0",0,_xlpm.a="none",0,_xlpm.a="moderate",1,_xlpm.a="strong",2),
_xlpm.y,_xlfn.IFS(_xlpm.b="0",0,_xlpm.b="none",0,_xlpm.b="moderate",1,_xlpm.b="strong",2),
_xlpm.d,ABS(_xlpm.x-_xlpm.y),
IF(_xlpm.d=0,"green",IF(_xlpm.d=1,"orange",IF(_xlpm.d=2,"red","check")))
)</f>
        <v>green</v>
      </c>
      <c r="EB89" s="1" t="str">
        <f t="array" ref="EB89">_xlfn.LET(
_xlpm.a,LOWER(TRIM(DW89&amp;"")),
_xlpm.b,LOWER(TRIM(DX89&amp;"")),
_xlpm.x,_xlfn.IFS(_xlpm.a="0",0,_xlpm.a="none",0,_xlpm.a="moderate",1,_xlpm.a="strong",2),
_xlpm.y,_xlfn.IFS(_xlpm.b="0",0,_xlpm.b="none",0,_xlpm.b="moderate",1,_xlpm.b="strong",2),
_xlpm.d,ABS(_xlpm.x-_xlpm.y),
IF(_xlpm.d=0,"green",IF(_xlpm.d=1,"orange",IF(_xlpm.d=2,"red","check")))
)</f>
        <v>green</v>
      </c>
      <c r="EC89"/>
      <c r="ED89"/>
      <c r="EE89"/>
      <c r="EF89"/>
      <c r="EG89"/>
      <c r="EH89"/>
      <c r="EI89"/>
      <c r="EJ89"/>
      <c r="EK89"/>
      <c r="EL89"/>
      <c r="EM89"/>
      <c r="EN89"/>
      <c r="EO89"/>
      <c r="EP89"/>
      <c r="EQ89"/>
      <c r="ER89"/>
      <c r="ES89" s="58" t="str">
        <f t="shared" si="33"/>
        <v/>
      </c>
      <c r="ET89" s="58" t="str">
        <f t="shared" si="34"/>
        <v>No</v>
      </c>
      <c r="EU89" s="59" t="str">
        <f t="shared" si="40"/>
        <v>Uninformative</v>
      </c>
      <c r="EV89" s="59" t="str">
        <f t="shared" si="41"/>
        <v>Uninformative</v>
      </c>
      <c r="EW89" s="59" t="str">
        <f t="shared" si="35"/>
        <v>Uninformative</v>
      </c>
      <c r="EX89" s="58" t="str">
        <f t="shared" si="36"/>
        <v>Uninformative</v>
      </c>
      <c r="EY89" s="58" t="str">
        <f t="shared" si="37"/>
        <v>Uninformative</v>
      </c>
      <c r="EZ89" s="58" t="str">
        <f t="shared" si="38"/>
        <v>Uninformative</v>
      </c>
      <c r="FA89" s="58" t="str">
        <f t="shared" si="39"/>
        <v>No</v>
      </c>
    </row>
    <row r="90" spans="1:157" ht="20" customHeight="1">
      <c r="A90" s="32"/>
      <c r="B90" s="32"/>
      <c r="C90" s="32"/>
      <c r="D90" s="32"/>
      <c r="E90" s="32"/>
      <c r="F90" s="32"/>
      <c r="G90" s="32"/>
      <c r="H90" s="32"/>
      <c r="I90" s="32"/>
      <c r="J90" s="32"/>
      <c r="K90" s="32"/>
      <c r="L90" s="32"/>
      <c r="M90" s="32"/>
      <c r="N90" s="32"/>
      <c r="O90" s="32"/>
      <c r="P90" s="32"/>
      <c r="Q90" s="32"/>
      <c r="R90" s="32"/>
      <c r="S90" s="32"/>
      <c r="T90" s="32"/>
      <c r="U90" s="32"/>
      <c r="V90" s="32"/>
      <c r="W90" s="32"/>
      <c r="X90"/>
      <c r="Y90"/>
      <c r="Z90"/>
      <c r="AA90"/>
      <c r="AB90"/>
      <c r="AC90"/>
      <c r="AD90"/>
      <c r="AE90"/>
      <c r="AG90"/>
      <c r="AH90"/>
      <c r="AI90"/>
      <c r="AJ90"/>
      <c r="AK90"/>
      <c r="AL90"/>
      <c r="CZ90"/>
      <c r="DA90"/>
      <c r="DB90"/>
      <c r="DC90"/>
      <c r="DD90"/>
      <c r="DE90"/>
      <c r="DF90"/>
      <c r="DG90"/>
      <c r="DH90"/>
      <c r="DI90"/>
      <c r="DJ90"/>
      <c r="DK90"/>
      <c r="DL90"/>
      <c r="DM90"/>
      <c r="DN90"/>
      <c r="DO90"/>
      <c r="DP90"/>
      <c r="DQ90" s="1">
        <f t="shared" si="25"/>
        <v>0</v>
      </c>
      <c r="DR90" s="1">
        <f t="shared" si="26"/>
        <v>0</v>
      </c>
      <c r="DS90" s="1">
        <f t="shared" si="27"/>
        <v>0</v>
      </c>
      <c r="DT90" s="1">
        <f t="shared" si="28"/>
        <v>0</v>
      </c>
      <c r="DU90" s="1">
        <f t="shared" si="29"/>
        <v>0</v>
      </c>
      <c r="DV90" s="1">
        <f t="shared" si="30"/>
        <v>0</v>
      </c>
      <c r="DW90" s="1">
        <f t="shared" si="31"/>
        <v>0</v>
      </c>
      <c r="DX90" s="1">
        <f t="shared" si="32"/>
        <v>0</v>
      </c>
      <c r="DY90" s="1" t="str">
        <f t="array" ref="DY90">_xlfn.LET(
_xlpm.a,LOWER(TRIM(DQ90&amp;"")),
_xlpm.b,LOWER(TRIM(DR90&amp;"")),
_xlpm.x,_xlfn.IFS(_xlpm.a="0",0,_xlpm.a="none",0,_xlpm.a="moderate",1,_xlpm.a="strong",2),
_xlpm.y,_xlfn.IFS(_xlpm.b="0",0,_xlpm.b="none",0,_xlpm.b="moderate",1,_xlpm.b="strong",2),
_xlpm.d,ABS(_xlpm.x-_xlpm.y),
IF(_xlpm.d=0,"green",IF(_xlpm.d=1,"orange",IF(_xlpm.d=2,"red","check")))
)</f>
        <v>green</v>
      </c>
      <c r="DZ90" s="1" t="str">
        <f t="array" ref="DZ90">_xlfn.LET(
_xlpm.a,LOWER(TRIM(DS90&amp;"")),
_xlpm.b,LOWER(TRIM(DT90&amp;"")),
_xlpm.x,_xlfn.IFS(_xlpm.a="0",0,_xlpm.a="none",0,_xlpm.a="moderate",1,_xlpm.a="strong",2),
_xlpm.y,_xlfn.IFS(_xlpm.b="0",0,_xlpm.b="none",0,_xlpm.b="moderate",1,_xlpm.b="strong",2),
_xlpm.d,ABS(_xlpm.x-_xlpm.y),
IF(_xlpm.d=0,"green",IF(_xlpm.d=1,"orange",IF(_xlpm.d=2,"red","check")))
)</f>
        <v>green</v>
      </c>
      <c r="EA90" s="1" t="str">
        <f t="array" ref="EA90">_xlfn.LET(
_xlpm.a,LOWER(TRIM(DU90&amp;"")),
_xlpm.b,LOWER(TRIM(DV90&amp;"")),
_xlpm.x,_xlfn.IFS(_xlpm.a="0",0,_xlpm.a="none",0,_xlpm.a="moderate",1,_xlpm.a="strong",2),
_xlpm.y,_xlfn.IFS(_xlpm.b="0",0,_xlpm.b="none",0,_xlpm.b="moderate",1,_xlpm.b="strong",2),
_xlpm.d,ABS(_xlpm.x-_xlpm.y),
IF(_xlpm.d=0,"green",IF(_xlpm.d=1,"orange",IF(_xlpm.d=2,"red","check")))
)</f>
        <v>green</v>
      </c>
      <c r="EB90" s="1" t="str">
        <f t="array" ref="EB90">_xlfn.LET(
_xlpm.a,LOWER(TRIM(DW90&amp;"")),
_xlpm.b,LOWER(TRIM(DX90&amp;"")),
_xlpm.x,_xlfn.IFS(_xlpm.a="0",0,_xlpm.a="none",0,_xlpm.a="moderate",1,_xlpm.a="strong",2),
_xlpm.y,_xlfn.IFS(_xlpm.b="0",0,_xlpm.b="none",0,_xlpm.b="moderate",1,_xlpm.b="strong",2),
_xlpm.d,ABS(_xlpm.x-_xlpm.y),
IF(_xlpm.d=0,"green",IF(_xlpm.d=1,"orange",IF(_xlpm.d=2,"red","check")))
)</f>
        <v>green</v>
      </c>
      <c r="EC90"/>
      <c r="ED90"/>
      <c r="EE90"/>
      <c r="EF90"/>
      <c r="EG90"/>
      <c r="EH90"/>
      <c r="EI90"/>
      <c r="EJ90"/>
      <c r="EK90"/>
      <c r="EL90"/>
      <c r="EM90"/>
      <c r="EN90"/>
      <c r="EO90"/>
      <c r="EP90"/>
      <c r="EQ90"/>
      <c r="ER90"/>
      <c r="ES90" s="58" t="str">
        <f t="shared" si="33"/>
        <v/>
      </c>
      <c r="ET90" s="58" t="str">
        <f t="shared" si="34"/>
        <v>No</v>
      </c>
      <c r="EU90" s="59" t="str">
        <f t="shared" si="40"/>
        <v>Uninformative</v>
      </c>
      <c r="EV90" s="59" t="str">
        <f t="shared" si="41"/>
        <v>Uninformative</v>
      </c>
      <c r="EW90" s="59" t="str">
        <f t="shared" si="35"/>
        <v>Uninformative</v>
      </c>
      <c r="EX90" s="58" t="str">
        <f t="shared" si="36"/>
        <v>Uninformative</v>
      </c>
      <c r="EY90" s="58" t="str">
        <f t="shared" si="37"/>
        <v>Uninformative</v>
      </c>
      <c r="EZ90" s="58" t="str">
        <f t="shared" si="38"/>
        <v>Uninformative</v>
      </c>
      <c r="FA90" s="58" t="str">
        <f t="shared" si="39"/>
        <v>No</v>
      </c>
    </row>
    <row r="91" spans="1:157" ht="20" customHeight="1">
      <c r="A91" s="32"/>
      <c r="B91" s="32"/>
      <c r="C91" s="32"/>
      <c r="D91" s="32"/>
      <c r="E91" s="32"/>
      <c r="F91" s="32"/>
      <c r="G91" s="32"/>
      <c r="H91" s="32"/>
      <c r="I91" s="32"/>
      <c r="J91" s="32"/>
      <c r="K91" s="32"/>
      <c r="L91" s="32"/>
      <c r="M91" s="32"/>
      <c r="N91" s="32"/>
      <c r="O91" s="32"/>
      <c r="P91" s="32"/>
      <c r="Q91" s="32"/>
      <c r="R91" s="32"/>
      <c r="S91" s="32"/>
      <c r="T91" s="32"/>
      <c r="U91" s="32"/>
      <c r="V91" s="32"/>
      <c r="W91" s="32"/>
      <c r="X91"/>
      <c r="Y91"/>
      <c r="Z91"/>
      <c r="AA91"/>
      <c r="AB91"/>
      <c r="AG91"/>
      <c r="AH91"/>
      <c r="AI91"/>
      <c r="AJ91"/>
      <c r="AK91"/>
      <c r="AL91"/>
      <c r="AM91"/>
      <c r="AN91"/>
      <c r="AO91"/>
      <c r="AP91"/>
      <c r="AQ91"/>
      <c r="AR91"/>
      <c r="AS91"/>
      <c r="AT91"/>
      <c r="AU91"/>
      <c r="AV91"/>
      <c r="AW91"/>
      <c r="AX91"/>
      <c r="AY91"/>
      <c r="AZ91"/>
      <c r="BU91"/>
      <c r="BV91"/>
      <c r="BW91"/>
      <c r="BX91"/>
      <c r="BY91"/>
      <c r="BZ91"/>
      <c r="CB91"/>
      <c r="CC91"/>
      <c r="CD91"/>
      <c r="CF91"/>
      <c r="CG91"/>
      <c r="CH91"/>
      <c r="CJ91"/>
      <c r="CK91"/>
      <c r="CQ91"/>
      <c r="CR91"/>
      <c r="CS91"/>
      <c r="CT91"/>
      <c r="CU91"/>
      <c r="CV91"/>
      <c r="CW91"/>
      <c r="CX91"/>
      <c r="CY91"/>
      <c r="CZ91"/>
      <c r="DA91"/>
      <c r="DB91"/>
      <c r="DC91"/>
      <c r="DD91"/>
      <c r="DE91"/>
      <c r="DF91"/>
      <c r="DG91"/>
      <c r="DH91"/>
      <c r="DI91"/>
      <c r="DJ91"/>
      <c r="DK91"/>
      <c r="DL91"/>
      <c r="DM91"/>
      <c r="DN91"/>
      <c r="DO91"/>
      <c r="DP91"/>
      <c r="DQ91" s="1">
        <f t="shared" si="25"/>
        <v>0</v>
      </c>
      <c r="DR91" s="1">
        <f t="shared" si="26"/>
        <v>0</v>
      </c>
      <c r="DS91" s="1">
        <f t="shared" si="27"/>
        <v>0</v>
      </c>
      <c r="DT91" s="1">
        <f t="shared" si="28"/>
        <v>0</v>
      </c>
      <c r="DU91" s="1">
        <f t="shared" si="29"/>
        <v>0</v>
      </c>
      <c r="DV91" s="1">
        <f t="shared" si="30"/>
        <v>0</v>
      </c>
      <c r="DW91" s="1">
        <f t="shared" si="31"/>
        <v>0</v>
      </c>
      <c r="DX91" s="1">
        <f t="shared" si="32"/>
        <v>0</v>
      </c>
      <c r="DY91" s="1" t="str">
        <f t="array" ref="DY91">_xlfn.LET(
_xlpm.a,LOWER(TRIM(DQ91&amp;"")),
_xlpm.b,LOWER(TRIM(DR91&amp;"")),
_xlpm.x,_xlfn.IFS(_xlpm.a="0",0,_xlpm.a="none",0,_xlpm.a="moderate",1,_xlpm.a="strong",2),
_xlpm.y,_xlfn.IFS(_xlpm.b="0",0,_xlpm.b="none",0,_xlpm.b="moderate",1,_xlpm.b="strong",2),
_xlpm.d,ABS(_xlpm.x-_xlpm.y),
IF(_xlpm.d=0,"green",IF(_xlpm.d=1,"orange",IF(_xlpm.d=2,"red","check")))
)</f>
        <v>green</v>
      </c>
      <c r="DZ91" s="1" t="str">
        <f t="array" ref="DZ91">_xlfn.LET(
_xlpm.a,LOWER(TRIM(DS91&amp;"")),
_xlpm.b,LOWER(TRIM(DT91&amp;"")),
_xlpm.x,_xlfn.IFS(_xlpm.a="0",0,_xlpm.a="none",0,_xlpm.a="moderate",1,_xlpm.a="strong",2),
_xlpm.y,_xlfn.IFS(_xlpm.b="0",0,_xlpm.b="none",0,_xlpm.b="moderate",1,_xlpm.b="strong",2),
_xlpm.d,ABS(_xlpm.x-_xlpm.y),
IF(_xlpm.d=0,"green",IF(_xlpm.d=1,"orange",IF(_xlpm.d=2,"red","check")))
)</f>
        <v>green</v>
      </c>
      <c r="EA91" s="1" t="str">
        <f t="array" ref="EA91">_xlfn.LET(
_xlpm.a,LOWER(TRIM(DU91&amp;"")),
_xlpm.b,LOWER(TRIM(DV91&amp;"")),
_xlpm.x,_xlfn.IFS(_xlpm.a="0",0,_xlpm.a="none",0,_xlpm.a="moderate",1,_xlpm.a="strong",2),
_xlpm.y,_xlfn.IFS(_xlpm.b="0",0,_xlpm.b="none",0,_xlpm.b="moderate",1,_xlpm.b="strong",2),
_xlpm.d,ABS(_xlpm.x-_xlpm.y),
IF(_xlpm.d=0,"green",IF(_xlpm.d=1,"orange",IF(_xlpm.d=2,"red","check")))
)</f>
        <v>green</v>
      </c>
      <c r="EB91" s="1" t="str">
        <f t="array" ref="EB91">_xlfn.LET(
_xlpm.a,LOWER(TRIM(DW91&amp;"")),
_xlpm.b,LOWER(TRIM(DX91&amp;"")),
_xlpm.x,_xlfn.IFS(_xlpm.a="0",0,_xlpm.a="none",0,_xlpm.a="moderate",1,_xlpm.a="strong",2),
_xlpm.y,_xlfn.IFS(_xlpm.b="0",0,_xlpm.b="none",0,_xlpm.b="moderate",1,_xlpm.b="strong",2),
_xlpm.d,ABS(_xlpm.x-_xlpm.y),
IF(_xlpm.d=0,"green",IF(_xlpm.d=1,"orange",IF(_xlpm.d=2,"red","check")))
)</f>
        <v>green</v>
      </c>
      <c r="EC91"/>
      <c r="ED91"/>
      <c r="EE91"/>
      <c r="EF91"/>
      <c r="EG91"/>
      <c r="EH91"/>
      <c r="EI91"/>
      <c r="EJ91"/>
      <c r="EK91"/>
      <c r="EL91"/>
      <c r="EM91"/>
      <c r="EN91"/>
      <c r="EO91"/>
      <c r="EP91"/>
      <c r="EQ91"/>
      <c r="ER91"/>
      <c r="ES91" s="58" t="str">
        <f t="shared" si="33"/>
        <v/>
      </c>
      <c r="ET91" s="58" t="str">
        <f t="shared" si="34"/>
        <v>No</v>
      </c>
      <c r="EU91" s="59" t="str">
        <f t="shared" si="40"/>
        <v>Uninformative</v>
      </c>
      <c r="EV91" s="59" t="str">
        <f t="shared" si="41"/>
        <v>Uninformative</v>
      </c>
      <c r="EW91" s="59" t="str">
        <f t="shared" si="35"/>
        <v>Uninformative</v>
      </c>
      <c r="EX91" s="58" t="str">
        <f t="shared" si="36"/>
        <v>Uninformative</v>
      </c>
      <c r="EY91" s="58" t="str">
        <f t="shared" si="37"/>
        <v>Uninformative</v>
      </c>
      <c r="EZ91" s="58" t="str">
        <f t="shared" si="38"/>
        <v>Uninformative</v>
      </c>
      <c r="FA91" s="58" t="str">
        <f t="shared" si="39"/>
        <v>No</v>
      </c>
    </row>
    <row r="92" spans="1:157" ht="20" customHeight="1">
      <c r="A92" s="32"/>
      <c r="B92" s="32"/>
      <c r="C92" s="32"/>
      <c r="D92" s="32"/>
      <c r="E92" s="32"/>
      <c r="F92" s="32"/>
      <c r="G92" s="32"/>
      <c r="H92" s="32"/>
      <c r="I92" s="32"/>
      <c r="J92" s="32"/>
      <c r="K92" s="32"/>
      <c r="L92" s="32"/>
      <c r="M92" s="32"/>
      <c r="N92" s="32"/>
      <c r="O92" s="32"/>
      <c r="P92" s="32"/>
      <c r="Q92" s="32"/>
      <c r="R92" s="32"/>
      <c r="S92" s="32"/>
      <c r="T92" s="32"/>
      <c r="U92" s="32"/>
      <c r="V92" s="32"/>
      <c r="W92" s="32"/>
      <c r="X92"/>
      <c r="Y92"/>
      <c r="Z92"/>
      <c r="AA92"/>
      <c r="AB92"/>
      <c r="AC92"/>
      <c r="AD92"/>
      <c r="AE92"/>
      <c r="AG92"/>
      <c r="AH92"/>
      <c r="AI92"/>
      <c r="AJ92"/>
      <c r="AK92"/>
      <c r="AL92"/>
      <c r="AM92"/>
      <c r="AN92"/>
      <c r="AO92"/>
      <c r="AP92"/>
      <c r="AQ92"/>
      <c r="AR92"/>
      <c r="AS92"/>
      <c r="AT92"/>
      <c r="AU92"/>
      <c r="AV92"/>
      <c r="AW92"/>
      <c r="AX92"/>
      <c r="AY92"/>
      <c r="AZ92"/>
      <c r="BA92"/>
      <c r="BB92"/>
      <c r="BC92"/>
      <c r="BD92"/>
      <c r="BE92"/>
      <c r="BF92"/>
      <c r="BG92"/>
      <c r="BH92"/>
      <c r="BI92"/>
      <c r="BJ92"/>
      <c r="BK92"/>
      <c r="BL92"/>
      <c r="BQ92"/>
      <c r="BR92"/>
      <c r="BS92"/>
      <c r="BT92"/>
      <c r="BU92"/>
      <c r="BV92"/>
      <c r="BW92"/>
      <c r="BX92"/>
      <c r="BY92"/>
      <c r="BZ92"/>
      <c r="CB92"/>
      <c r="CC92"/>
      <c r="CD92"/>
      <c r="CF92"/>
      <c r="CG92"/>
      <c r="CH92"/>
      <c r="CJ92"/>
      <c r="CK92"/>
      <c r="CL92"/>
      <c r="CM92"/>
      <c r="CN92"/>
      <c r="CP92"/>
      <c r="CQ92"/>
      <c r="CR92"/>
      <c r="CS92"/>
      <c r="CT92"/>
      <c r="CU92"/>
      <c r="CV92"/>
      <c r="CW92"/>
      <c r="CX92"/>
      <c r="CY92"/>
      <c r="CZ92"/>
      <c r="DA92"/>
      <c r="DB92"/>
      <c r="DC92"/>
      <c r="DD92"/>
      <c r="DE92"/>
      <c r="DF92"/>
      <c r="DG92"/>
      <c r="DH92"/>
      <c r="DI92"/>
      <c r="DJ92"/>
      <c r="DK92"/>
      <c r="DL92"/>
      <c r="DM92"/>
      <c r="DN92"/>
      <c r="DO92"/>
      <c r="DP92"/>
      <c r="DQ92" s="1">
        <f t="shared" si="25"/>
        <v>0</v>
      </c>
      <c r="DR92" s="1">
        <f t="shared" si="26"/>
        <v>0</v>
      </c>
      <c r="DS92" s="1">
        <f t="shared" si="27"/>
        <v>0</v>
      </c>
      <c r="DT92" s="1">
        <f t="shared" si="28"/>
        <v>0</v>
      </c>
      <c r="DU92" s="1">
        <f t="shared" si="29"/>
        <v>0</v>
      </c>
      <c r="DV92" s="1">
        <f t="shared" si="30"/>
        <v>0</v>
      </c>
      <c r="DW92" s="1">
        <f t="shared" si="31"/>
        <v>0</v>
      </c>
      <c r="DX92" s="1">
        <f t="shared" si="32"/>
        <v>0</v>
      </c>
      <c r="DY92" s="1" t="str">
        <f t="array" ref="DY92">_xlfn.LET(
_xlpm.a,LOWER(TRIM(DQ92&amp;"")),
_xlpm.b,LOWER(TRIM(DR92&amp;"")),
_xlpm.x,_xlfn.IFS(_xlpm.a="0",0,_xlpm.a="none",0,_xlpm.a="moderate",1,_xlpm.a="strong",2),
_xlpm.y,_xlfn.IFS(_xlpm.b="0",0,_xlpm.b="none",0,_xlpm.b="moderate",1,_xlpm.b="strong",2),
_xlpm.d,ABS(_xlpm.x-_xlpm.y),
IF(_xlpm.d=0,"green",IF(_xlpm.d=1,"orange",IF(_xlpm.d=2,"red","check")))
)</f>
        <v>green</v>
      </c>
      <c r="DZ92" s="1" t="str">
        <f t="array" ref="DZ92">_xlfn.LET(
_xlpm.a,LOWER(TRIM(DS92&amp;"")),
_xlpm.b,LOWER(TRIM(DT92&amp;"")),
_xlpm.x,_xlfn.IFS(_xlpm.a="0",0,_xlpm.a="none",0,_xlpm.a="moderate",1,_xlpm.a="strong",2),
_xlpm.y,_xlfn.IFS(_xlpm.b="0",0,_xlpm.b="none",0,_xlpm.b="moderate",1,_xlpm.b="strong",2),
_xlpm.d,ABS(_xlpm.x-_xlpm.y),
IF(_xlpm.d=0,"green",IF(_xlpm.d=1,"orange",IF(_xlpm.d=2,"red","check")))
)</f>
        <v>green</v>
      </c>
      <c r="EA92" s="1" t="str">
        <f t="array" ref="EA92">_xlfn.LET(
_xlpm.a,LOWER(TRIM(DU92&amp;"")),
_xlpm.b,LOWER(TRIM(DV92&amp;"")),
_xlpm.x,_xlfn.IFS(_xlpm.a="0",0,_xlpm.a="none",0,_xlpm.a="moderate",1,_xlpm.a="strong",2),
_xlpm.y,_xlfn.IFS(_xlpm.b="0",0,_xlpm.b="none",0,_xlpm.b="moderate",1,_xlpm.b="strong",2),
_xlpm.d,ABS(_xlpm.x-_xlpm.y),
IF(_xlpm.d=0,"green",IF(_xlpm.d=1,"orange",IF(_xlpm.d=2,"red","check")))
)</f>
        <v>green</v>
      </c>
      <c r="EB92" s="1" t="str">
        <f t="array" ref="EB92">_xlfn.LET(
_xlpm.a,LOWER(TRIM(DW92&amp;"")),
_xlpm.b,LOWER(TRIM(DX92&amp;"")),
_xlpm.x,_xlfn.IFS(_xlpm.a="0",0,_xlpm.a="none",0,_xlpm.a="moderate",1,_xlpm.a="strong",2),
_xlpm.y,_xlfn.IFS(_xlpm.b="0",0,_xlpm.b="none",0,_xlpm.b="moderate",1,_xlpm.b="strong",2),
_xlpm.d,ABS(_xlpm.x-_xlpm.y),
IF(_xlpm.d=0,"green",IF(_xlpm.d=1,"orange",IF(_xlpm.d=2,"red","check")))
)</f>
        <v>green</v>
      </c>
      <c r="EC92"/>
      <c r="ED92"/>
      <c r="EE92"/>
      <c r="EF92"/>
      <c r="EG92"/>
      <c r="EH92"/>
      <c r="EI92"/>
      <c r="EJ92"/>
      <c r="EK92"/>
      <c r="EL92"/>
      <c r="EM92"/>
      <c r="EN92"/>
      <c r="EO92"/>
      <c r="EP92"/>
      <c r="EQ92"/>
      <c r="ER92"/>
      <c r="ES92" s="58" t="str">
        <f t="shared" si="33"/>
        <v/>
      </c>
      <c r="ET92" s="58" t="str">
        <f t="shared" si="34"/>
        <v>No</v>
      </c>
      <c r="EU92" s="59" t="str">
        <f t="shared" si="40"/>
        <v>Uninformative</v>
      </c>
      <c r="EV92" s="59" t="str">
        <f t="shared" si="41"/>
        <v>Uninformative</v>
      </c>
      <c r="EW92" s="59" t="str">
        <f t="shared" si="35"/>
        <v>Uninformative</v>
      </c>
      <c r="EX92" s="58" t="str">
        <f t="shared" si="36"/>
        <v>Uninformative</v>
      </c>
      <c r="EY92" s="58" t="str">
        <f t="shared" si="37"/>
        <v>Uninformative</v>
      </c>
      <c r="EZ92" s="58" t="str">
        <f t="shared" si="38"/>
        <v>Uninformative</v>
      </c>
      <c r="FA92" s="58" t="str">
        <f t="shared" si="39"/>
        <v>No</v>
      </c>
    </row>
    <row r="93" spans="1:157" ht="20" customHeight="1">
      <c r="A93" s="32"/>
      <c r="B93" s="32"/>
      <c r="C93" s="32"/>
      <c r="D93" s="32"/>
      <c r="E93" s="32"/>
      <c r="F93" s="32"/>
      <c r="G93" s="32"/>
      <c r="H93" s="32"/>
      <c r="I93" s="32"/>
      <c r="J93" s="32"/>
      <c r="K93" s="32"/>
      <c r="L93" s="32"/>
      <c r="M93" s="32"/>
      <c r="N93" s="32"/>
      <c r="O93" s="32"/>
      <c r="P93" s="32"/>
      <c r="Q93" s="32"/>
      <c r="R93" s="32"/>
      <c r="S93" s="32"/>
      <c r="T93" s="32"/>
      <c r="U93" s="32"/>
      <c r="V93" s="32"/>
      <c r="W93" s="32"/>
      <c r="X93"/>
      <c r="Y93"/>
      <c r="Z93"/>
      <c r="AA93"/>
      <c r="AB93"/>
      <c r="AC93"/>
      <c r="AD93"/>
      <c r="AE93"/>
      <c r="AG93"/>
      <c r="AH93"/>
      <c r="AI93"/>
      <c r="AJ93"/>
      <c r="AK93"/>
      <c r="AL93"/>
      <c r="CZ93"/>
      <c r="DA93"/>
      <c r="DB93"/>
      <c r="DC93"/>
      <c r="DD93"/>
      <c r="DE93"/>
      <c r="DF93"/>
      <c r="DG93"/>
      <c r="DH93"/>
      <c r="DI93"/>
      <c r="DJ93"/>
      <c r="DK93"/>
      <c r="DL93"/>
      <c r="DM93"/>
      <c r="DN93"/>
      <c r="DO93"/>
      <c r="DP93"/>
      <c r="DQ93" s="1">
        <f t="shared" si="25"/>
        <v>0</v>
      </c>
      <c r="DR93" s="1">
        <f t="shared" si="26"/>
        <v>0</v>
      </c>
      <c r="DS93" s="1">
        <f t="shared" si="27"/>
        <v>0</v>
      </c>
      <c r="DT93" s="1">
        <f t="shared" si="28"/>
        <v>0</v>
      </c>
      <c r="DU93" s="1">
        <f t="shared" si="29"/>
        <v>0</v>
      </c>
      <c r="DV93" s="1">
        <f t="shared" si="30"/>
        <v>0</v>
      </c>
      <c r="DW93" s="1">
        <f t="shared" si="31"/>
        <v>0</v>
      </c>
      <c r="DX93" s="1">
        <f t="shared" si="32"/>
        <v>0</v>
      </c>
      <c r="DY93" s="1" t="str">
        <f t="array" ref="DY93">_xlfn.LET(
_xlpm.a,LOWER(TRIM(DQ93&amp;"")),
_xlpm.b,LOWER(TRIM(DR93&amp;"")),
_xlpm.x,_xlfn.IFS(_xlpm.a="0",0,_xlpm.a="none",0,_xlpm.a="moderate",1,_xlpm.a="strong",2),
_xlpm.y,_xlfn.IFS(_xlpm.b="0",0,_xlpm.b="none",0,_xlpm.b="moderate",1,_xlpm.b="strong",2),
_xlpm.d,ABS(_xlpm.x-_xlpm.y),
IF(_xlpm.d=0,"green",IF(_xlpm.d=1,"orange",IF(_xlpm.d=2,"red","check")))
)</f>
        <v>green</v>
      </c>
      <c r="DZ93" s="1" t="str">
        <f t="array" ref="DZ93">_xlfn.LET(
_xlpm.a,LOWER(TRIM(DS93&amp;"")),
_xlpm.b,LOWER(TRIM(DT93&amp;"")),
_xlpm.x,_xlfn.IFS(_xlpm.a="0",0,_xlpm.a="none",0,_xlpm.a="moderate",1,_xlpm.a="strong",2),
_xlpm.y,_xlfn.IFS(_xlpm.b="0",0,_xlpm.b="none",0,_xlpm.b="moderate",1,_xlpm.b="strong",2),
_xlpm.d,ABS(_xlpm.x-_xlpm.y),
IF(_xlpm.d=0,"green",IF(_xlpm.d=1,"orange",IF(_xlpm.d=2,"red","check")))
)</f>
        <v>green</v>
      </c>
      <c r="EA93" s="1" t="str">
        <f t="array" ref="EA93">_xlfn.LET(
_xlpm.a,LOWER(TRIM(DU93&amp;"")),
_xlpm.b,LOWER(TRIM(DV93&amp;"")),
_xlpm.x,_xlfn.IFS(_xlpm.a="0",0,_xlpm.a="none",0,_xlpm.a="moderate",1,_xlpm.a="strong",2),
_xlpm.y,_xlfn.IFS(_xlpm.b="0",0,_xlpm.b="none",0,_xlpm.b="moderate",1,_xlpm.b="strong",2),
_xlpm.d,ABS(_xlpm.x-_xlpm.y),
IF(_xlpm.d=0,"green",IF(_xlpm.d=1,"orange",IF(_xlpm.d=2,"red","check")))
)</f>
        <v>green</v>
      </c>
      <c r="EB93" s="1" t="str">
        <f t="array" ref="EB93">_xlfn.LET(
_xlpm.a,LOWER(TRIM(DW93&amp;"")),
_xlpm.b,LOWER(TRIM(DX93&amp;"")),
_xlpm.x,_xlfn.IFS(_xlpm.a="0",0,_xlpm.a="none",0,_xlpm.a="moderate",1,_xlpm.a="strong",2),
_xlpm.y,_xlfn.IFS(_xlpm.b="0",0,_xlpm.b="none",0,_xlpm.b="moderate",1,_xlpm.b="strong",2),
_xlpm.d,ABS(_xlpm.x-_xlpm.y),
IF(_xlpm.d=0,"green",IF(_xlpm.d=1,"orange",IF(_xlpm.d=2,"red","check")))
)</f>
        <v>green</v>
      </c>
      <c r="EC93"/>
      <c r="ED93"/>
      <c r="EE93"/>
      <c r="EF93"/>
      <c r="EG93"/>
      <c r="EH93"/>
      <c r="EI93"/>
      <c r="EJ93"/>
      <c r="EK93"/>
      <c r="EL93"/>
      <c r="EM93"/>
      <c r="EN93"/>
      <c r="EO93"/>
      <c r="EP93"/>
      <c r="EQ93"/>
      <c r="ER93"/>
      <c r="ES93" s="58" t="str">
        <f t="shared" si="33"/>
        <v/>
      </c>
      <c r="ET93" s="58" t="str">
        <f t="shared" si="34"/>
        <v>No</v>
      </c>
      <c r="EU93" s="59" t="str">
        <f t="shared" si="40"/>
        <v>Uninformative</v>
      </c>
      <c r="EV93" s="59" t="str">
        <f t="shared" si="41"/>
        <v>Uninformative</v>
      </c>
      <c r="EW93" s="59" t="str">
        <f t="shared" si="35"/>
        <v>Uninformative</v>
      </c>
      <c r="EX93" s="58" t="str">
        <f t="shared" si="36"/>
        <v>Uninformative</v>
      </c>
      <c r="EY93" s="58" t="str">
        <f t="shared" si="37"/>
        <v>Uninformative</v>
      </c>
      <c r="EZ93" s="58" t="str">
        <f t="shared" si="38"/>
        <v>Uninformative</v>
      </c>
      <c r="FA93" s="58" t="str">
        <f t="shared" si="39"/>
        <v>No</v>
      </c>
    </row>
    <row r="94" spans="1:157" ht="20" customHeight="1">
      <c r="A94" s="32"/>
      <c r="B94" s="32"/>
      <c r="C94" s="32"/>
      <c r="D94" s="32"/>
      <c r="E94" s="32"/>
      <c r="F94" s="32"/>
      <c r="G94" s="32"/>
      <c r="H94" s="32"/>
      <c r="I94" s="32"/>
      <c r="J94" s="32"/>
      <c r="K94" s="32"/>
      <c r="L94" s="32"/>
      <c r="M94" s="32"/>
      <c r="N94" s="32"/>
      <c r="O94" s="32"/>
      <c r="P94" s="32"/>
      <c r="Q94" s="32"/>
      <c r="R94" s="32"/>
      <c r="S94" s="32"/>
      <c r="T94" s="32"/>
      <c r="U94" s="32"/>
      <c r="V94" s="32"/>
      <c r="W94" s="32"/>
      <c r="X94"/>
      <c r="Y94"/>
      <c r="Z94"/>
      <c r="AA94"/>
      <c r="AB94"/>
      <c r="AC94"/>
      <c r="AD94"/>
      <c r="AE94"/>
      <c r="AG94"/>
      <c r="AH94"/>
      <c r="AI94"/>
      <c r="AJ94"/>
      <c r="AK94"/>
      <c r="AL94"/>
      <c r="AM94"/>
      <c r="AN94"/>
      <c r="AO94"/>
      <c r="AP94"/>
      <c r="AQ94"/>
      <c r="AR94"/>
      <c r="AS94"/>
      <c r="AT94"/>
      <c r="AU94"/>
      <c r="AV94"/>
      <c r="AW94"/>
      <c r="AX94"/>
      <c r="AY94"/>
      <c r="AZ94"/>
      <c r="BA94"/>
      <c r="BB94"/>
      <c r="BC94"/>
      <c r="BD94"/>
      <c r="BE94"/>
      <c r="BF94"/>
      <c r="BG94"/>
      <c r="BH94"/>
      <c r="BI94"/>
      <c r="BJ94"/>
      <c r="BK94"/>
      <c r="BL94"/>
      <c r="BQ94"/>
      <c r="BR94"/>
      <c r="BS94"/>
      <c r="BT94"/>
      <c r="BU94"/>
      <c r="BV94"/>
      <c r="BW94"/>
      <c r="BX94"/>
      <c r="BY94"/>
      <c r="BZ94"/>
      <c r="CB94"/>
      <c r="CC94"/>
      <c r="CD94"/>
      <c r="CF94"/>
      <c r="CG94"/>
      <c r="CH94"/>
      <c r="CJ94"/>
      <c r="CK94"/>
      <c r="CL94"/>
      <c r="CM94"/>
      <c r="CN94"/>
      <c r="CP94"/>
      <c r="CQ94"/>
      <c r="CR94"/>
      <c r="CS94"/>
      <c r="CT94"/>
      <c r="CU94"/>
      <c r="CV94"/>
      <c r="CW94"/>
      <c r="CX94"/>
      <c r="CY94"/>
      <c r="CZ94"/>
      <c r="DA94"/>
      <c r="DB94"/>
      <c r="DC94"/>
      <c r="DD94"/>
      <c r="DE94"/>
      <c r="DF94"/>
      <c r="DG94"/>
      <c r="DH94"/>
      <c r="DI94"/>
      <c r="DJ94"/>
      <c r="DK94"/>
      <c r="DL94"/>
      <c r="DM94"/>
      <c r="DN94"/>
      <c r="DO94"/>
      <c r="DP94"/>
      <c r="DQ94" s="1">
        <f t="shared" si="25"/>
        <v>0</v>
      </c>
      <c r="DR94" s="1">
        <f t="shared" si="26"/>
        <v>0</v>
      </c>
      <c r="DS94" s="1">
        <f t="shared" si="27"/>
        <v>0</v>
      </c>
      <c r="DT94" s="1">
        <f t="shared" si="28"/>
        <v>0</v>
      </c>
      <c r="DU94" s="1">
        <f t="shared" si="29"/>
        <v>0</v>
      </c>
      <c r="DV94" s="1">
        <f t="shared" si="30"/>
        <v>0</v>
      </c>
      <c r="DW94" s="1">
        <f t="shared" si="31"/>
        <v>0</v>
      </c>
      <c r="DX94" s="1">
        <f t="shared" si="32"/>
        <v>0</v>
      </c>
      <c r="DY94" s="1" t="str">
        <f t="array" ref="DY94">_xlfn.LET(
_xlpm.a,LOWER(TRIM(DQ94&amp;"")),
_xlpm.b,LOWER(TRIM(DR94&amp;"")),
_xlpm.x,_xlfn.IFS(_xlpm.a="0",0,_xlpm.a="none",0,_xlpm.a="moderate",1,_xlpm.a="strong",2),
_xlpm.y,_xlfn.IFS(_xlpm.b="0",0,_xlpm.b="none",0,_xlpm.b="moderate",1,_xlpm.b="strong",2),
_xlpm.d,ABS(_xlpm.x-_xlpm.y),
IF(_xlpm.d=0,"green",IF(_xlpm.d=1,"orange",IF(_xlpm.d=2,"red","check")))
)</f>
        <v>green</v>
      </c>
      <c r="DZ94" s="1" t="str">
        <f t="array" ref="DZ94">_xlfn.LET(
_xlpm.a,LOWER(TRIM(DS94&amp;"")),
_xlpm.b,LOWER(TRIM(DT94&amp;"")),
_xlpm.x,_xlfn.IFS(_xlpm.a="0",0,_xlpm.a="none",0,_xlpm.a="moderate",1,_xlpm.a="strong",2),
_xlpm.y,_xlfn.IFS(_xlpm.b="0",0,_xlpm.b="none",0,_xlpm.b="moderate",1,_xlpm.b="strong",2),
_xlpm.d,ABS(_xlpm.x-_xlpm.y),
IF(_xlpm.d=0,"green",IF(_xlpm.d=1,"orange",IF(_xlpm.d=2,"red","check")))
)</f>
        <v>green</v>
      </c>
      <c r="EA94" s="1" t="str">
        <f t="array" ref="EA94">_xlfn.LET(
_xlpm.a,LOWER(TRIM(DU94&amp;"")),
_xlpm.b,LOWER(TRIM(DV94&amp;"")),
_xlpm.x,_xlfn.IFS(_xlpm.a="0",0,_xlpm.a="none",0,_xlpm.a="moderate",1,_xlpm.a="strong",2),
_xlpm.y,_xlfn.IFS(_xlpm.b="0",0,_xlpm.b="none",0,_xlpm.b="moderate",1,_xlpm.b="strong",2),
_xlpm.d,ABS(_xlpm.x-_xlpm.y),
IF(_xlpm.d=0,"green",IF(_xlpm.d=1,"orange",IF(_xlpm.d=2,"red","check")))
)</f>
        <v>green</v>
      </c>
      <c r="EB94" s="1" t="str">
        <f t="array" ref="EB94">_xlfn.LET(
_xlpm.a,LOWER(TRIM(DW94&amp;"")),
_xlpm.b,LOWER(TRIM(DX94&amp;"")),
_xlpm.x,_xlfn.IFS(_xlpm.a="0",0,_xlpm.a="none",0,_xlpm.a="moderate",1,_xlpm.a="strong",2),
_xlpm.y,_xlfn.IFS(_xlpm.b="0",0,_xlpm.b="none",0,_xlpm.b="moderate",1,_xlpm.b="strong",2),
_xlpm.d,ABS(_xlpm.x-_xlpm.y),
IF(_xlpm.d=0,"green",IF(_xlpm.d=1,"orange",IF(_xlpm.d=2,"red","check")))
)</f>
        <v>green</v>
      </c>
      <c r="EC94"/>
      <c r="ED94"/>
      <c r="EE94"/>
      <c r="EF94"/>
      <c r="EG94"/>
      <c r="EH94"/>
      <c r="EI94"/>
      <c r="EJ94"/>
      <c r="EK94"/>
      <c r="EL94"/>
      <c r="EM94"/>
      <c r="EN94"/>
      <c r="EO94"/>
      <c r="EP94"/>
      <c r="EQ94"/>
      <c r="ER94"/>
      <c r="ES94" s="58" t="str">
        <f t="shared" si="33"/>
        <v/>
      </c>
      <c r="ET94" s="58" t="str">
        <f t="shared" si="34"/>
        <v>No</v>
      </c>
      <c r="EU94" s="59" t="str">
        <f t="shared" si="40"/>
        <v>Uninformative</v>
      </c>
      <c r="EV94" s="59" t="str">
        <f t="shared" si="41"/>
        <v>Uninformative</v>
      </c>
      <c r="EW94" s="59" t="str">
        <f t="shared" si="35"/>
        <v>Uninformative</v>
      </c>
      <c r="EX94" s="58" t="str">
        <f t="shared" si="36"/>
        <v>Uninformative</v>
      </c>
      <c r="EY94" s="58" t="str">
        <f t="shared" si="37"/>
        <v>Uninformative</v>
      </c>
      <c r="EZ94" s="58" t="str">
        <f t="shared" si="38"/>
        <v>Uninformative</v>
      </c>
      <c r="FA94" s="58" t="str">
        <f t="shared" si="39"/>
        <v>No</v>
      </c>
    </row>
    <row r="95" spans="1:157" ht="20" customHeight="1">
      <c r="A95" s="32"/>
      <c r="B95" s="32"/>
      <c r="C95" s="32"/>
      <c r="D95" s="32"/>
      <c r="E95" s="32"/>
      <c r="F95" s="32"/>
      <c r="G95" s="32"/>
      <c r="H95" s="32"/>
      <c r="I95" s="32"/>
      <c r="J95" s="32"/>
      <c r="K95" s="32"/>
      <c r="L95" s="32"/>
      <c r="M95" s="32"/>
      <c r="N95" s="32"/>
      <c r="O95" s="32"/>
      <c r="P95" s="32"/>
      <c r="Q95" s="32"/>
      <c r="R95" s="32"/>
      <c r="S95" s="32"/>
      <c r="T95" s="32"/>
      <c r="U95" s="32"/>
      <c r="V95" s="32"/>
      <c r="W95" s="32"/>
      <c r="X95"/>
      <c r="Y95"/>
      <c r="Z95"/>
      <c r="AA95"/>
      <c r="AB95"/>
      <c r="AC95"/>
      <c r="AD95"/>
      <c r="AE95"/>
      <c r="AG95"/>
      <c r="AH95"/>
      <c r="AI95"/>
      <c r="AJ95"/>
      <c r="AK95"/>
      <c r="AL95"/>
      <c r="AM95"/>
      <c r="AN95"/>
      <c r="AO95"/>
      <c r="AP95"/>
      <c r="AQ95"/>
      <c r="AR95"/>
      <c r="AS95"/>
      <c r="AT95"/>
      <c r="AU95"/>
      <c r="AV95"/>
      <c r="AW95"/>
      <c r="AX95"/>
      <c r="AY95"/>
      <c r="AZ95"/>
      <c r="BA95"/>
      <c r="BB95"/>
      <c r="BC95"/>
      <c r="BD95"/>
      <c r="BE95"/>
      <c r="BF95"/>
      <c r="BG95"/>
      <c r="BH95"/>
      <c r="BI95"/>
      <c r="BJ95"/>
      <c r="BK95"/>
      <c r="BL95"/>
      <c r="BQ95"/>
      <c r="BR95"/>
      <c r="BS95"/>
      <c r="BT95"/>
      <c r="BU95"/>
      <c r="BV95"/>
      <c r="BW95"/>
      <c r="BX95"/>
      <c r="BY95"/>
      <c r="BZ95"/>
      <c r="CB95"/>
      <c r="CC95"/>
      <c r="CD95"/>
      <c r="CF95"/>
      <c r="CG95"/>
      <c r="CH95"/>
      <c r="CJ95"/>
      <c r="CK95"/>
      <c r="CL95"/>
      <c r="CM95"/>
      <c r="CN95"/>
      <c r="CP95"/>
      <c r="CQ95"/>
      <c r="CR95"/>
      <c r="CS95"/>
      <c r="CT95"/>
      <c r="CU95"/>
      <c r="CV95"/>
      <c r="CW95"/>
      <c r="CX95"/>
      <c r="CY95"/>
      <c r="CZ95"/>
      <c r="DA95"/>
      <c r="DB95"/>
      <c r="DC95"/>
      <c r="DD95"/>
      <c r="DE95"/>
      <c r="DF95"/>
      <c r="DG95"/>
      <c r="DH95"/>
      <c r="DI95"/>
      <c r="DJ95"/>
      <c r="DK95"/>
      <c r="DL95"/>
      <c r="DM95"/>
      <c r="DN95"/>
      <c r="DO95"/>
      <c r="DP95"/>
      <c r="DQ95" s="1">
        <f t="shared" si="25"/>
        <v>0</v>
      </c>
      <c r="DR95" s="1">
        <f t="shared" si="26"/>
        <v>0</v>
      </c>
      <c r="DS95" s="1">
        <f t="shared" si="27"/>
        <v>0</v>
      </c>
      <c r="DT95" s="1">
        <f t="shared" si="28"/>
        <v>0</v>
      </c>
      <c r="DU95" s="1">
        <f t="shared" si="29"/>
        <v>0</v>
      </c>
      <c r="DV95" s="1">
        <f t="shared" si="30"/>
        <v>0</v>
      </c>
      <c r="DW95" s="1">
        <f t="shared" si="31"/>
        <v>0</v>
      </c>
      <c r="DX95" s="1">
        <f t="shared" si="32"/>
        <v>0</v>
      </c>
      <c r="DY95" s="1" t="str">
        <f t="array" ref="DY95">_xlfn.LET(
_xlpm.a,LOWER(TRIM(DQ95&amp;"")),
_xlpm.b,LOWER(TRIM(DR95&amp;"")),
_xlpm.x,_xlfn.IFS(_xlpm.a="0",0,_xlpm.a="none",0,_xlpm.a="moderate",1,_xlpm.a="strong",2),
_xlpm.y,_xlfn.IFS(_xlpm.b="0",0,_xlpm.b="none",0,_xlpm.b="moderate",1,_xlpm.b="strong",2),
_xlpm.d,ABS(_xlpm.x-_xlpm.y),
IF(_xlpm.d=0,"green",IF(_xlpm.d=1,"orange",IF(_xlpm.d=2,"red","check")))
)</f>
        <v>green</v>
      </c>
      <c r="DZ95" s="1" t="str">
        <f t="array" ref="DZ95">_xlfn.LET(
_xlpm.a,LOWER(TRIM(DS95&amp;"")),
_xlpm.b,LOWER(TRIM(DT95&amp;"")),
_xlpm.x,_xlfn.IFS(_xlpm.a="0",0,_xlpm.a="none",0,_xlpm.a="moderate",1,_xlpm.a="strong",2),
_xlpm.y,_xlfn.IFS(_xlpm.b="0",0,_xlpm.b="none",0,_xlpm.b="moderate",1,_xlpm.b="strong",2),
_xlpm.d,ABS(_xlpm.x-_xlpm.y),
IF(_xlpm.d=0,"green",IF(_xlpm.d=1,"orange",IF(_xlpm.d=2,"red","check")))
)</f>
        <v>green</v>
      </c>
      <c r="EA95" s="1" t="str">
        <f t="array" ref="EA95">_xlfn.LET(
_xlpm.a,LOWER(TRIM(DU95&amp;"")),
_xlpm.b,LOWER(TRIM(DV95&amp;"")),
_xlpm.x,_xlfn.IFS(_xlpm.a="0",0,_xlpm.a="none",0,_xlpm.a="moderate",1,_xlpm.a="strong",2),
_xlpm.y,_xlfn.IFS(_xlpm.b="0",0,_xlpm.b="none",0,_xlpm.b="moderate",1,_xlpm.b="strong",2),
_xlpm.d,ABS(_xlpm.x-_xlpm.y),
IF(_xlpm.d=0,"green",IF(_xlpm.d=1,"orange",IF(_xlpm.d=2,"red","check")))
)</f>
        <v>green</v>
      </c>
      <c r="EB95" s="1" t="str">
        <f t="array" ref="EB95">_xlfn.LET(
_xlpm.a,LOWER(TRIM(DW95&amp;"")),
_xlpm.b,LOWER(TRIM(DX95&amp;"")),
_xlpm.x,_xlfn.IFS(_xlpm.a="0",0,_xlpm.a="none",0,_xlpm.a="moderate",1,_xlpm.a="strong",2),
_xlpm.y,_xlfn.IFS(_xlpm.b="0",0,_xlpm.b="none",0,_xlpm.b="moderate",1,_xlpm.b="strong",2),
_xlpm.d,ABS(_xlpm.x-_xlpm.y),
IF(_xlpm.d=0,"green",IF(_xlpm.d=1,"orange",IF(_xlpm.d=2,"red","check")))
)</f>
        <v>green</v>
      </c>
      <c r="EC95"/>
      <c r="ED95"/>
      <c r="EE95"/>
      <c r="EF95"/>
      <c r="EG95"/>
      <c r="EH95"/>
      <c r="EI95"/>
      <c r="EJ95"/>
      <c r="EK95"/>
      <c r="EL95"/>
      <c r="EM95"/>
      <c r="EN95"/>
      <c r="EO95"/>
      <c r="EP95"/>
      <c r="EQ95"/>
      <c r="ER95"/>
      <c r="ES95" s="58" t="str">
        <f t="shared" si="33"/>
        <v/>
      </c>
      <c r="ET95" s="58" t="str">
        <f t="shared" si="34"/>
        <v>No</v>
      </c>
      <c r="EU95" s="59" t="str">
        <f t="shared" si="40"/>
        <v>Uninformative</v>
      </c>
      <c r="EV95" s="59" t="str">
        <f t="shared" si="41"/>
        <v>Uninformative</v>
      </c>
      <c r="EW95" s="59" t="str">
        <f t="shared" si="35"/>
        <v>Uninformative</v>
      </c>
      <c r="EX95" s="58" t="str">
        <f t="shared" si="36"/>
        <v>Uninformative</v>
      </c>
      <c r="EY95" s="58" t="str">
        <f t="shared" si="37"/>
        <v>Uninformative</v>
      </c>
      <c r="EZ95" s="58" t="str">
        <f t="shared" si="38"/>
        <v>Uninformative</v>
      </c>
      <c r="FA95" s="58" t="str">
        <f t="shared" si="39"/>
        <v>No</v>
      </c>
    </row>
    <row r="96" spans="1:157" ht="20" customHeight="1">
      <c r="A96" s="32"/>
      <c r="B96" s="32"/>
      <c r="C96" s="32"/>
      <c r="D96" s="32"/>
      <c r="E96" s="32"/>
      <c r="F96" s="32"/>
      <c r="G96" s="32"/>
      <c r="H96" s="32"/>
      <c r="I96" s="32"/>
      <c r="J96" s="32"/>
      <c r="K96" s="32"/>
      <c r="L96" s="32"/>
      <c r="M96" s="32"/>
      <c r="N96" s="32"/>
      <c r="O96" s="32"/>
      <c r="P96" s="32"/>
      <c r="Q96" s="32"/>
      <c r="R96" s="32"/>
      <c r="S96" s="32"/>
      <c r="T96" s="32"/>
      <c r="U96" s="32"/>
      <c r="V96" s="32"/>
      <c r="W96" s="32"/>
      <c r="X96"/>
      <c r="Y96"/>
      <c r="Z96"/>
      <c r="AA96"/>
      <c r="AB96"/>
      <c r="AC96"/>
      <c r="AD96"/>
      <c r="AE96"/>
      <c r="AG96"/>
      <c r="AH96"/>
      <c r="AI96"/>
      <c r="AJ96"/>
      <c r="AK96"/>
      <c r="AL96"/>
      <c r="AM96"/>
      <c r="AN96"/>
      <c r="AO96"/>
      <c r="AP96"/>
      <c r="AQ96"/>
      <c r="AR96"/>
      <c r="AS96"/>
      <c r="AT96"/>
      <c r="AU96"/>
      <c r="AV96"/>
      <c r="AW96"/>
      <c r="AX96"/>
      <c r="AY96"/>
      <c r="AZ96"/>
      <c r="BU96"/>
      <c r="BV96"/>
      <c r="BW96"/>
      <c r="BX96"/>
      <c r="BY96"/>
      <c r="BZ96"/>
      <c r="CB96"/>
      <c r="CC96"/>
      <c r="CD96"/>
      <c r="CF96"/>
      <c r="CG96"/>
      <c r="CH96"/>
      <c r="CJ96"/>
      <c r="CK96"/>
      <c r="CQ96"/>
      <c r="CR96"/>
      <c r="CS96"/>
      <c r="CT96"/>
      <c r="CU96"/>
      <c r="CV96"/>
      <c r="CW96"/>
      <c r="CX96"/>
      <c r="CY96"/>
      <c r="CZ96"/>
      <c r="DA96"/>
      <c r="DB96"/>
      <c r="DC96"/>
      <c r="DD96"/>
      <c r="DE96"/>
      <c r="DF96"/>
      <c r="DG96"/>
      <c r="DH96"/>
      <c r="DI96"/>
      <c r="DJ96"/>
      <c r="DK96"/>
      <c r="DL96"/>
      <c r="DM96"/>
      <c r="DN96"/>
      <c r="DO96"/>
      <c r="DP96"/>
      <c r="DQ96" s="1">
        <f t="shared" si="25"/>
        <v>0</v>
      </c>
      <c r="DR96" s="1">
        <f t="shared" si="26"/>
        <v>0</v>
      </c>
      <c r="DS96" s="1">
        <f t="shared" si="27"/>
        <v>0</v>
      </c>
      <c r="DT96" s="1">
        <f t="shared" si="28"/>
        <v>0</v>
      </c>
      <c r="DU96" s="1">
        <f t="shared" si="29"/>
        <v>0</v>
      </c>
      <c r="DV96" s="1">
        <f t="shared" si="30"/>
        <v>0</v>
      </c>
      <c r="DW96" s="1">
        <f t="shared" si="31"/>
        <v>0</v>
      </c>
      <c r="DX96" s="1">
        <f t="shared" si="32"/>
        <v>0</v>
      </c>
      <c r="DY96" s="1" t="str">
        <f t="array" ref="DY96">_xlfn.LET(
_xlpm.a,LOWER(TRIM(DQ96&amp;"")),
_xlpm.b,LOWER(TRIM(DR96&amp;"")),
_xlpm.x,_xlfn.IFS(_xlpm.a="0",0,_xlpm.a="none",0,_xlpm.a="moderate",1,_xlpm.a="strong",2),
_xlpm.y,_xlfn.IFS(_xlpm.b="0",0,_xlpm.b="none",0,_xlpm.b="moderate",1,_xlpm.b="strong",2),
_xlpm.d,ABS(_xlpm.x-_xlpm.y),
IF(_xlpm.d=0,"green",IF(_xlpm.d=1,"orange",IF(_xlpm.d=2,"red","check")))
)</f>
        <v>green</v>
      </c>
      <c r="DZ96" s="1" t="str">
        <f t="array" ref="DZ96">_xlfn.LET(
_xlpm.a,LOWER(TRIM(DS96&amp;"")),
_xlpm.b,LOWER(TRIM(DT96&amp;"")),
_xlpm.x,_xlfn.IFS(_xlpm.a="0",0,_xlpm.a="none",0,_xlpm.a="moderate",1,_xlpm.a="strong",2),
_xlpm.y,_xlfn.IFS(_xlpm.b="0",0,_xlpm.b="none",0,_xlpm.b="moderate",1,_xlpm.b="strong",2),
_xlpm.d,ABS(_xlpm.x-_xlpm.y),
IF(_xlpm.d=0,"green",IF(_xlpm.d=1,"orange",IF(_xlpm.d=2,"red","check")))
)</f>
        <v>green</v>
      </c>
      <c r="EA96" s="1" t="str">
        <f t="array" ref="EA96">_xlfn.LET(
_xlpm.a,LOWER(TRIM(DU96&amp;"")),
_xlpm.b,LOWER(TRIM(DV96&amp;"")),
_xlpm.x,_xlfn.IFS(_xlpm.a="0",0,_xlpm.a="none",0,_xlpm.a="moderate",1,_xlpm.a="strong",2),
_xlpm.y,_xlfn.IFS(_xlpm.b="0",0,_xlpm.b="none",0,_xlpm.b="moderate",1,_xlpm.b="strong",2),
_xlpm.d,ABS(_xlpm.x-_xlpm.y),
IF(_xlpm.d=0,"green",IF(_xlpm.d=1,"orange",IF(_xlpm.d=2,"red","check")))
)</f>
        <v>green</v>
      </c>
      <c r="EB96" s="1" t="str">
        <f t="array" ref="EB96">_xlfn.LET(
_xlpm.a,LOWER(TRIM(DW96&amp;"")),
_xlpm.b,LOWER(TRIM(DX96&amp;"")),
_xlpm.x,_xlfn.IFS(_xlpm.a="0",0,_xlpm.a="none",0,_xlpm.a="moderate",1,_xlpm.a="strong",2),
_xlpm.y,_xlfn.IFS(_xlpm.b="0",0,_xlpm.b="none",0,_xlpm.b="moderate",1,_xlpm.b="strong",2),
_xlpm.d,ABS(_xlpm.x-_xlpm.y),
IF(_xlpm.d=0,"green",IF(_xlpm.d=1,"orange",IF(_xlpm.d=2,"red","check")))
)</f>
        <v>green</v>
      </c>
      <c r="EC96"/>
      <c r="ED96"/>
      <c r="EE96"/>
      <c r="EF96"/>
      <c r="EG96"/>
      <c r="EH96"/>
      <c r="EI96"/>
      <c r="EJ96"/>
      <c r="EK96"/>
      <c r="EL96"/>
      <c r="EM96"/>
      <c r="EN96"/>
      <c r="EO96"/>
      <c r="EP96"/>
      <c r="EQ96"/>
      <c r="ER96"/>
      <c r="ES96" s="58" t="str">
        <f t="shared" si="33"/>
        <v/>
      </c>
      <c r="ET96" s="58" t="str">
        <f t="shared" si="34"/>
        <v>No</v>
      </c>
      <c r="EU96" s="59" t="str">
        <f t="shared" si="40"/>
        <v>Uninformative</v>
      </c>
      <c r="EV96" s="59" t="str">
        <f t="shared" si="41"/>
        <v>Uninformative</v>
      </c>
      <c r="EW96" s="59" t="str">
        <f t="shared" si="35"/>
        <v>Uninformative</v>
      </c>
      <c r="EX96" s="58" t="str">
        <f t="shared" si="36"/>
        <v>Uninformative</v>
      </c>
      <c r="EY96" s="58" t="str">
        <f t="shared" si="37"/>
        <v>Uninformative</v>
      </c>
      <c r="EZ96" s="58" t="str">
        <f t="shared" si="38"/>
        <v>Uninformative</v>
      </c>
      <c r="FA96" s="58" t="str">
        <f t="shared" si="39"/>
        <v>No</v>
      </c>
    </row>
    <row r="97" spans="1:157" ht="20" customHeight="1">
      <c r="A97" s="32"/>
      <c r="B97" s="32"/>
      <c r="C97" s="32"/>
      <c r="D97" s="32"/>
      <c r="E97" s="32"/>
      <c r="F97" s="32"/>
      <c r="G97" s="32"/>
      <c r="H97" s="32"/>
      <c r="I97" s="32"/>
      <c r="J97" s="32"/>
      <c r="K97" s="32"/>
      <c r="L97" s="32"/>
      <c r="M97" s="32"/>
      <c r="N97" s="32"/>
      <c r="O97" s="32"/>
      <c r="P97" s="32"/>
      <c r="Q97" s="32"/>
      <c r="R97" s="32"/>
      <c r="S97" s="32"/>
      <c r="T97" s="32"/>
      <c r="U97" s="32"/>
      <c r="V97" s="32"/>
      <c r="W97" s="32"/>
      <c r="X97"/>
      <c r="Y97"/>
      <c r="Z97"/>
      <c r="AA97"/>
      <c r="AB97"/>
      <c r="AC97"/>
      <c r="AD97"/>
      <c r="AE97"/>
      <c r="AG97"/>
      <c r="AH97"/>
      <c r="AI97"/>
      <c r="AJ97"/>
      <c r="AK97"/>
      <c r="AL97"/>
      <c r="AM97"/>
      <c r="AN97"/>
      <c r="AO97"/>
      <c r="AP97"/>
      <c r="AQ97"/>
      <c r="AR97"/>
      <c r="AS97"/>
      <c r="AT97"/>
      <c r="AU97"/>
      <c r="AV97"/>
      <c r="AW97"/>
      <c r="AX97"/>
      <c r="AY97"/>
      <c r="AZ97"/>
      <c r="BA97"/>
      <c r="BB97"/>
      <c r="BC97"/>
      <c r="BD97"/>
      <c r="BE97"/>
      <c r="BF97"/>
      <c r="BG97"/>
      <c r="BH97"/>
      <c r="BI97"/>
      <c r="BJ97"/>
      <c r="BK97"/>
      <c r="BL97"/>
      <c r="BQ97"/>
      <c r="BR97"/>
      <c r="BS97"/>
      <c r="BT97"/>
      <c r="BU97"/>
      <c r="BV97"/>
      <c r="BW97"/>
      <c r="BX97"/>
      <c r="BY97"/>
      <c r="BZ97"/>
      <c r="CB97"/>
      <c r="CC97"/>
      <c r="CD97"/>
      <c r="CF97"/>
      <c r="CG97"/>
      <c r="CH97"/>
      <c r="CJ97"/>
      <c r="CK97"/>
      <c r="CL97"/>
      <c r="CM97"/>
      <c r="CN97"/>
      <c r="CP97"/>
      <c r="CQ97"/>
      <c r="CR97"/>
      <c r="CS97"/>
      <c r="CT97"/>
      <c r="CU97"/>
      <c r="CV97"/>
      <c r="CW97"/>
      <c r="CX97"/>
      <c r="CY97"/>
      <c r="CZ97"/>
      <c r="DA97"/>
      <c r="DB97"/>
      <c r="DC97"/>
      <c r="DD97"/>
      <c r="DE97"/>
      <c r="DF97"/>
      <c r="DG97"/>
      <c r="DH97"/>
      <c r="DI97"/>
      <c r="DJ97"/>
      <c r="DK97"/>
      <c r="DL97"/>
      <c r="DM97"/>
      <c r="DN97"/>
      <c r="DO97"/>
      <c r="DP97"/>
      <c r="DQ97" s="1">
        <f t="shared" si="25"/>
        <v>0</v>
      </c>
      <c r="DR97" s="1">
        <f t="shared" si="26"/>
        <v>0</v>
      </c>
      <c r="DS97" s="1">
        <f t="shared" si="27"/>
        <v>0</v>
      </c>
      <c r="DT97" s="1">
        <f t="shared" si="28"/>
        <v>0</v>
      </c>
      <c r="DU97" s="1">
        <f t="shared" si="29"/>
        <v>0</v>
      </c>
      <c r="DV97" s="1">
        <f t="shared" si="30"/>
        <v>0</v>
      </c>
      <c r="DW97" s="1">
        <f t="shared" si="31"/>
        <v>0</v>
      </c>
      <c r="DX97" s="1">
        <f t="shared" si="32"/>
        <v>0</v>
      </c>
      <c r="DY97" s="1" t="str">
        <f t="array" ref="DY97">_xlfn.LET(
_xlpm.a,LOWER(TRIM(DQ97&amp;"")),
_xlpm.b,LOWER(TRIM(DR97&amp;"")),
_xlpm.x,_xlfn.IFS(_xlpm.a="0",0,_xlpm.a="none",0,_xlpm.a="moderate",1,_xlpm.a="strong",2),
_xlpm.y,_xlfn.IFS(_xlpm.b="0",0,_xlpm.b="none",0,_xlpm.b="moderate",1,_xlpm.b="strong",2),
_xlpm.d,ABS(_xlpm.x-_xlpm.y),
IF(_xlpm.d=0,"green",IF(_xlpm.d=1,"orange",IF(_xlpm.d=2,"red","check")))
)</f>
        <v>green</v>
      </c>
      <c r="DZ97" s="1" t="str">
        <f t="array" ref="DZ97">_xlfn.LET(
_xlpm.a,LOWER(TRIM(DS97&amp;"")),
_xlpm.b,LOWER(TRIM(DT97&amp;"")),
_xlpm.x,_xlfn.IFS(_xlpm.a="0",0,_xlpm.a="none",0,_xlpm.a="moderate",1,_xlpm.a="strong",2),
_xlpm.y,_xlfn.IFS(_xlpm.b="0",0,_xlpm.b="none",0,_xlpm.b="moderate",1,_xlpm.b="strong",2),
_xlpm.d,ABS(_xlpm.x-_xlpm.y),
IF(_xlpm.d=0,"green",IF(_xlpm.d=1,"orange",IF(_xlpm.d=2,"red","check")))
)</f>
        <v>green</v>
      </c>
      <c r="EA97" s="1" t="str">
        <f t="array" ref="EA97">_xlfn.LET(
_xlpm.a,LOWER(TRIM(DU97&amp;"")),
_xlpm.b,LOWER(TRIM(DV97&amp;"")),
_xlpm.x,_xlfn.IFS(_xlpm.a="0",0,_xlpm.a="none",0,_xlpm.a="moderate",1,_xlpm.a="strong",2),
_xlpm.y,_xlfn.IFS(_xlpm.b="0",0,_xlpm.b="none",0,_xlpm.b="moderate",1,_xlpm.b="strong",2),
_xlpm.d,ABS(_xlpm.x-_xlpm.y),
IF(_xlpm.d=0,"green",IF(_xlpm.d=1,"orange",IF(_xlpm.d=2,"red","check")))
)</f>
        <v>green</v>
      </c>
      <c r="EB97" s="1" t="str">
        <f t="array" ref="EB97">_xlfn.LET(
_xlpm.a,LOWER(TRIM(DW97&amp;"")),
_xlpm.b,LOWER(TRIM(DX97&amp;"")),
_xlpm.x,_xlfn.IFS(_xlpm.a="0",0,_xlpm.a="none",0,_xlpm.a="moderate",1,_xlpm.a="strong",2),
_xlpm.y,_xlfn.IFS(_xlpm.b="0",0,_xlpm.b="none",0,_xlpm.b="moderate",1,_xlpm.b="strong",2),
_xlpm.d,ABS(_xlpm.x-_xlpm.y),
IF(_xlpm.d=0,"green",IF(_xlpm.d=1,"orange",IF(_xlpm.d=2,"red","check")))
)</f>
        <v>green</v>
      </c>
      <c r="EC97"/>
      <c r="ED97"/>
      <c r="EE97"/>
      <c r="EF97"/>
      <c r="EG97"/>
      <c r="EH97"/>
      <c r="EI97"/>
      <c r="EJ97"/>
      <c r="EK97"/>
      <c r="EL97"/>
      <c r="EM97"/>
      <c r="EN97"/>
      <c r="EO97"/>
      <c r="EP97"/>
      <c r="EQ97"/>
      <c r="ER97"/>
      <c r="ES97" s="58" t="str">
        <f t="shared" si="33"/>
        <v/>
      </c>
      <c r="ET97" s="58" t="str">
        <f t="shared" si="34"/>
        <v>No</v>
      </c>
      <c r="EU97" s="59" t="str">
        <f t="shared" si="40"/>
        <v>Uninformative</v>
      </c>
      <c r="EV97" s="59" t="str">
        <f t="shared" si="41"/>
        <v>Uninformative</v>
      </c>
      <c r="EW97" s="59" t="str">
        <f t="shared" si="35"/>
        <v>Uninformative</v>
      </c>
      <c r="EX97" s="58" t="str">
        <f t="shared" si="36"/>
        <v>Uninformative</v>
      </c>
      <c r="EY97" s="58" t="str">
        <f t="shared" si="37"/>
        <v>Uninformative</v>
      </c>
      <c r="EZ97" s="58" t="str">
        <f t="shared" si="38"/>
        <v>Uninformative</v>
      </c>
      <c r="FA97" s="58" t="str">
        <f t="shared" si="39"/>
        <v>No</v>
      </c>
    </row>
    <row r="98" spans="1:157" ht="20" customHeight="1">
      <c r="A98" s="32"/>
      <c r="B98" s="32"/>
      <c r="C98" s="32"/>
      <c r="D98" s="32"/>
      <c r="E98" s="32"/>
      <c r="F98" s="32"/>
      <c r="G98" s="32"/>
      <c r="H98" s="32"/>
      <c r="I98" s="32"/>
      <c r="J98" s="32"/>
      <c r="K98" s="32"/>
      <c r="L98" s="32"/>
      <c r="M98" s="32"/>
      <c r="N98" s="32"/>
      <c r="O98" s="32"/>
      <c r="P98" s="32"/>
      <c r="Q98" s="32"/>
      <c r="R98" s="32"/>
      <c r="S98" s="32"/>
      <c r="T98" s="32"/>
      <c r="U98" s="32"/>
      <c r="V98" s="32"/>
      <c r="W98" s="32"/>
      <c r="X98"/>
      <c r="Y98"/>
      <c r="Z98"/>
      <c r="AA98"/>
      <c r="AB98"/>
      <c r="AC98"/>
      <c r="AD98"/>
      <c r="AE98"/>
      <c r="AG98"/>
      <c r="AH98"/>
      <c r="AI98"/>
      <c r="AJ98"/>
      <c r="AK98"/>
      <c r="AL98"/>
      <c r="CZ98"/>
      <c r="DA98"/>
      <c r="DB98" s="16"/>
      <c r="DC98"/>
      <c r="DD98"/>
      <c r="DE98"/>
      <c r="DF98"/>
      <c r="DG98"/>
      <c r="DH98"/>
      <c r="DI98"/>
      <c r="DJ98"/>
      <c r="DK98"/>
      <c r="DL98"/>
      <c r="DM98"/>
      <c r="DN98"/>
      <c r="DO98"/>
      <c r="DP98"/>
      <c r="DQ98" s="1">
        <f t="shared" si="25"/>
        <v>0</v>
      </c>
      <c r="DR98" s="1">
        <f t="shared" si="26"/>
        <v>0</v>
      </c>
      <c r="DS98" s="1">
        <f t="shared" si="27"/>
        <v>0</v>
      </c>
      <c r="DT98" s="1">
        <f t="shared" si="28"/>
        <v>0</v>
      </c>
      <c r="DU98" s="1">
        <f t="shared" si="29"/>
        <v>0</v>
      </c>
      <c r="DV98" s="1">
        <f t="shared" si="30"/>
        <v>0</v>
      </c>
      <c r="DW98" s="1">
        <f t="shared" si="31"/>
        <v>0</v>
      </c>
      <c r="DX98" s="1">
        <f t="shared" si="32"/>
        <v>0</v>
      </c>
      <c r="DY98" s="1" t="str">
        <f t="array" ref="DY98">_xlfn.LET(
_xlpm.a,LOWER(TRIM(DQ98&amp;"")),
_xlpm.b,LOWER(TRIM(DR98&amp;"")),
_xlpm.x,_xlfn.IFS(_xlpm.a="0",0,_xlpm.a="none",0,_xlpm.a="moderate",1,_xlpm.a="strong",2),
_xlpm.y,_xlfn.IFS(_xlpm.b="0",0,_xlpm.b="none",0,_xlpm.b="moderate",1,_xlpm.b="strong",2),
_xlpm.d,ABS(_xlpm.x-_xlpm.y),
IF(_xlpm.d=0,"green",IF(_xlpm.d=1,"orange",IF(_xlpm.d=2,"red","check")))
)</f>
        <v>green</v>
      </c>
      <c r="DZ98" s="1" t="str">
        <f t="array" ref="DZ98">_xlfn.LET(
_xlpm.a,LOWER(TRIM(DS98&amp;"")),
_xlpm.b,LOWER(TRIM(DT98&amp;"")),
_xlpm.x,_xlfn.IFS(_xlpm.a="0",0,_xlpm.a="none",0,_xlpm.a="moderate",1,_xlpm.a="strong",2),
_xlpm.y,_xlfn.IFS(_xlpm.b="0",0,_xlpm.b="none",0,_xlpm.b="moderate",1,_xlpm.b="strong",2),
_xlpm.d,ABS(_xlpm.x-_xlpm.y),
IF(_xlpm.d=0,"green",IF(_xlpm.d=1,"orange",IF(_xlpm.d=2,"red","check")))
)</f>
        <v>green</v>
      </c>
      <c r="EA98" s="1" t="str">
        <f t="array" ref="EA98">_xlfn.LET(
_xlpm.a,LOWER(TRIM(DU98&amp;"")),
_xlpm.b,LOWER(TRIM(DV98&amp;"")),
_xlpm.x,_xlfn.IFS(_xlpm.a="0",0,_xlpm.a="none",0,_xlpm.a="moderate",1,_xlpm.a="strong",2),
_xlpm.y,_xlfn.IFS(_xlpm.b="0",0,_xlpm.b="none",0,_xlpm.b="moderate",1,_xlpm.b="strong",2),
_xlpm.d,ABS(_xlpm.x-_xlpm.y),
IF(_xlpm.d=0,"green",IF(_xlpm.d=1,"orange",IF(_xlpm.d=2,"red","check")))
)</f>
        <v>green</v>
      </c>
      <c r="EB98" s="1" t="str">
        <f t="array" ref="EB98">_xlfn.LET(
_xlpm.a,LOWER(TRIM(DW98&amp;"")),
_xlpm.b,LOWER(TRIM(DX98&amp;"")),
_xlpm.x,_xlfn.IFS(_xlpm.a="0",0,_xlpm.a="none",0,_xlpm.a="moderate",1,_xlpm.a="strong",2),
_xlpm.y,_xlfn.IFS(_xlpm.b="0",0,_xlpm.b="none",0,_xlpm.b="moderate",1,_xlpm.b="strong",2),
_xlpm.d,ABS(_xlpm.x-_xlpm.y),
IF(_xlpm.d=0,"green",IF(_xlpm.d=1,"orange",IF(_xlpm.d=2,"red","check")))
)</f>
        <v>green</v>
      </c>
      <c r="EC98"/>
      <c r="ED98"/>
      <c r="EE98"/>
      <c r="EF98"/>
      <c r="EG98"/>
      <c r="EH98"/>
      <c r="EI98"/>
      <c r="EJ98"/>
      <c r="EK98"/>
      <c r="EL98"/>
      <c r="EM98"/>
      <c r="EN98"/>
      <c r="EO98"/>
      <c r="EP98"/>
      <c r="EQ98"/>
      <c r="ER98"/>
      <c r="ES98" s="58" t="str">
        <f t="shared" si="33"/>
        <v/>
      </c>
      <c r="ET98" s="58" t="str">
        <f t="shared" si="34"/>
        <v>No</v>
      </c>
      <c r="EU98" s="59" t="str">
        <f t="shared" si="40"/>
        <v>Uninformative</v>
      </c>
      <c r="EV98" s="59" t="str">
        <f t="shared" si="41"/>
        <v>Uninformative</v>
      </c>
      <c r="EW98" s="59" t="str">
        <f t="shared" si="35"/>
        <v>Uninformative</v>
      </c>
      <c r="EX98" s="58" t="str">
        <f t="shared" si="36"/>
        <v>Uninformative</v>
      </c>
      <c r="EY98" s="58" t="str">
        <f t="shared" si="37"/>
        <v>Uninformative</v>
      </c>
      <c r="EZ98" s="58" t="str">
        <f t="shared" si="38"/>
        <v>Uninformative</v>
      </c>
      <c r="FA98" s="58" t="str">
        <f t="shared" si="39"/>
        <v>No</v>
      </c>
    </row>
    <row r="99" spans="1:157" ht="20" customHeight="1">
      <c r="A99" s="32"/>
      <c r="B99" s="32"/>
      <c r="C99" s="32"/>
      <c r="D99" s="32"/>
      <c r="E99" s="32"/>
      <c r="F99" s="32"/>
      <c r="G99" s="32"/>
      <c r="H99" s="32"/>
      <c r="I99" s="32"/>
      <c r="J99" s="32"/>
      <c r="K99" s="32"/>
      <c r="L99" s="32"/>
      <c r="M99" s="32"/>
      <c r="N99" s="32"/>
      <c r="O99" s="32"/>
      <c r="P99" s="32"/>
      <c r="Q99" s="32"/>
      <c r="R99" s="32"/>
      <c r="S99" s="32"/>
      <c r="T99" s="32"/>
      <c r="U99" s="32"/>
      <c r="V99" s="32"/>
      <c r="W99" s="32"/>
      <c r="X99"/>
      <c r="Y99"/>
      <c r="Z99"/>
      <c r="AA99"/>
      <c r="AB99"/>
      <c r="AC99"/>
      <c r="AD99"/>
      <c r="AE99"/>
      <c r="AG99"/>
      <c r="AH99"/>
      <c r="AI99"/>
      <c r="AJ99"/>
      <c r="AK99"/>
      <c r="AL99"/>
      <c r="AM99"/>
      <c r="AN99"/>
      <c r="AO99"/>
      <c r="AP99"/>
      <c r="AQ99"/>
      <c r="AR99"/>
      <c r="AS99"/>
      <c r="AT99"/>
      <c r="AU99"/>
      <c r="AV99"/>
      <c r="AW99"/>
      <c r="AX99"/>
      <c r="AY99"/>
      <c r="AZ99"/>
      <c r="BA99"/>
      <c r="BB99"/>
      <c r="BC99"/>
      <c r="BD99"/>
      <c r="BE99"/>
      <c r="BF99"/>
      <c r="BG99"/>
      <c r="BH99"/>
      <c r="BI99"/>
      <c r="BJ99"/>
      <c r="BK99"/>
      <c r="BL99"/>
      <c r="BQ99"/>
      <c r="BR99"/>
      <c r="BS99"/>
      <c r="BT99"/>
      <c r="BU99"/>
      <c r="BV99"/>
      <c r="BW99"/>
      <c r="BX99"/>
      <c r="BY99"/>
      <c r="BZ99"/>
      <c r="CB99"/>
      <c r="CC99"/>
      <c r="CD99"/>
      <c r="CF99"/>
      <c r="CG99"/>
      <c r="CH99"/>
      <c r="CJ99"/>
      <c r="CK99"/>
      <c r="CL99"/>
      <c r="CM99"/>
      <c r="CN99"/>
      <c r="CP99"/>
      <c r="CQ99"/>
      <c r="CR99"/>
      <c r="CS99" s="16"/>
      <c r="CT99"/>
      <c r="CU99"/>
      <c r="CV99"/>
      <c r="CW99"/>
      <c r="CX99"/>
      <c r="CY99"/>
      <c r="CZ99"/>
      <c r="DA99"/>
      <c r="DB99"/>
      <c r="DC99"/>
      <c r="DD99"/>
      <c r="DE99"/>
      <c r="DF99"/>
      <c r="DG99"/>
      <c r="DH99"/>
      <c r="DI99"/>
      <c r="DJ99"/>
      <c r="DK99"/>
      <c r="DL99"/>
      <c r="DM99"/>
      <c r="DN99"/>
      <c r="DO99"/>
      <c r="DP99"/>
      <c r="DQ99" s="1">
        <f t="shared" ref="DQ99:DQ105" si="42">CR99</f>
        <v>0</v>
      </c>
      <c r="DR99" s="1">
        <f t="shared" ref="DR99:DR105" si="43">DB99</f>
        <v>0</v>
      </c>
      <c r="DS99" s="1">
        <f t="shared" ref="DS99:DS105" si="44">CT99</f>
        <v>0</v>
      </c>
      <c r="DT99" s="1">
        <f t="shared" ref="DT99:DT105" si="45">DF99</f>
        <v>0</v>
      </c>
      <c r="DU99" s="1">
        <f t="shared" ref="DU99:DU105" si="46">CV99</f>
        <v>0</v>
      </c>
      <c r="DV99" s="1">
        <f t="shared" ref="DV99:DV105" si="47">DJ99</f>
        <v>0</v>
      </c>
      <c r="DW99" s="1">
        <f t="shared" ref="DW99:DW105" si="48">CX99</f>
        <v>0</v>
      </c>
      <c r="DX99" s="1">
        <f t="shared" ref="DX99:DX105" si="49">DN99</f>
        <v>0</v>
      </c>
      <c r="DY99" s="1" t="str">
        <f t="array" ref="DY99">_xlfn.LET(
_xlpm.a,LOWER(TRIM(DQ99&amp;"")),
_xlpm.b,LOWER(TRIM(DR99&amp;"")),
_xlpm.x,_xlfn.IFS(_xlpm.a="0",0,_xlpm.a="none",0,_xlpm.a="moderate",1,_xlpm.a="strong",2),
_xlpm.y,_xlfn.IFS(_xlpm.b="0",0,_xlpm.b="none",0,_xlpm.b="moderate",1,_xlpm.b="strong",2),
_xlpm.d,ABS(_xlpm.x-_xlpm.y),
IF(_xlpm.d=0,"green",IF(_xlpm.d=1,"orange",IF(_xlpm.d=2,"red","check")))
)</f>
        <v>green</v>
      </c>
      <c r="DZ99" s="1" t="str">
        <f t="array" ref="DZ99">_xlfn.LET(
_xlpm.a,LOWER(TRIM(DS99&amp;"")),
_xlpm.b,LOWER(TRIM(DT99&amp;"")),
_xlpm.x,_xlfn.IFS(_xlpm.a="0",0,_xlpm.a="none",0,_xlpm.a="moderate",1,_xlpm.a="strong",2),
_xlpm.y,_xlfn.IFS(_xlpm.b="0",0,_xlpm.b="none",0,_xlpm.b="moderate",1,_xlpm.b="strong",2),
_xlpm.d,ABS(_xlpm.x-_xlpm.y),
IF(_xlpm.d=0,"green",IF(_xlpm.d=1,"orange",IF(_xlpm.d=2,"red","check")))
)</f>
        <v>green</v>
      </c>
      <c r="EA99" s="1" t="str">
        <f t="array" ref="EA99">_xlfn.LET(
_xlpm.a,LOWER(TRIM(DU99&amp;"")),
_xlpm.b,LOWER(TRIM(DV99&amp;"")),
_xlpm.x,_xlfn.IFS(_xlpm.a="0",0,_xlpm.a="none",0,_xlpm.a="moderate",1,_xlpm.a="strong",2),
_xlpm.y,_xlfn.IFS(_xlpm.b="0",0,_xlpm.b="none",0,_xlpm.b="moderate",1,_xlpm.b="strong",2),
_xlpm.d,ABS(_xlpm.x-_xlpm.y),
IF(_xlpm.d=0,"green",IF(_xlpm.d=1,"orange",IF(_xlpm.d=2,"red","check")))
)</f>
        <v>green</v>
      </c>
      <c r="EB99" s="1" t="str">
        <f t="array" ref="EB99">_xlfn.LET(
_xlpm.a,LOWER(TRIM(DW99&amp;"")),
_xlpm.b,LOWER(TRIM(DX99&amp;"")),
_xlpm.x,_xlfn.IFS(_xlpm.a="0",0,_xlpm.a="none",0,_xlpm.a="moderate",1,_xlpm.a="strong",2),
_xlpm.y,_xlfn.IFS(_xlpm.b="0",0,_xlpm.b="none",0,_xlpm.b="moderate",1,_xlpm.b="strong",2),
_xlpm.d,ABS(_xlpm.x-_xlpm.y),
IF(_xlpm.d=0,"green",IF(_xlpm.d=1,"orange",IF(_xlpm.d=2,"red","check")))
)</f>
        <v>green</v>
      </c>
      <c r="EC99"/>
      <c r="ED99"/>
      <c r="EE99"/>
      <c r="EF99"/>
      <c r="EG99"/>
      <c r="EH99"/>
      <c r="EI99"/>
      <c r="EJ99"/>
      <c r="EK99"/>
      <c r="EL99"/>
      <c r="EM99"/>
      <c r="EN99"/>
      <c r="EO99"/>
      <c r="EP99"/>
      <c r="EQ99"/>
      <c r="ER99"/>
      <c r="ES99" s="58" t="str">
        <f t="shared" si="33"/>
        <v/>
      </c>
      <c r="ET99" s="58" t="str">
        <f t="shared" si="34"/>
        <v>No</v>
      </c>
      <c r="EU99" s="59" t="str">
        <f t="shared" si="40"/>
        <v>Uninformative</v>
      </c>
      <c r="EV99" s="59" t="str">
        <f t="shared" si="41"/>
        <v>Uninformative</v>
      </c>
      <c r="EW99" s="59" t="str">
        <f t="shared" si="35"/>
        <v>Uninformative</v>
      </c>
      <c r="EX99" s="58" t="str">
        <f t="shared" si="36"/>
        <v>Uninformative</v>
      </c>
      <c r="EY99" s="58" t="str">
        <f t="shared" si="37"/>
        <v>Uninformative</v>
      </c>
      <c r="EZ99" s="58" t="str">
        <f t="shared" si="38"/>
        <v>Uninformative</v>
      </c>
      <c r="FA99" s="58" t="str">
        <f t="shared" si="39"/>
        <v>No</v>
      </c>
    </row>
    <row r="100" spans="1:157" ht="20"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c r="Y100"/>
      <c r="Z100"/>
      <c r="AA100"/>
      <c r="AB100"/>
      <c r="AC100"/>
      <c r="AD100"/>
      <c r="AE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Q100"/>
      <c r="BR100"/>
      <c r="BS100"/>
      <c r="BT100"/>
      <c r="BU100"/>
      <c r="BV100"/>
      <c r="BW100"/>
      <c r="BX100"/>
      <c r="BY100"/>
      <c r="BZ100"/>
      <c r="CB100"/>
      <c r="CC100"/>
      <c r="CD100"/>
      <c r="CF100"/>
      <c r="CG100"/>
      <c r="CH100"/>
      <c r="CJ100"/>
      <c r="CK100"/>
      <c r="CL100"/>
      <c r="CM100"/>
      <c r="CN100"/>
      <c r="CP100"/>
      <c r="CQ100"/>
      <c r="CR100"/>
      <c r="CS100"/>
      <c r="CT100"/>
      <c r="CU100"/>
      <c r="CV100"/>
      <c r="CW100"/>
      <c r="CX100"/>
      <c r="CY100"/>
      <c r="CZ100"/>
      <c r="DA100"/>
      <c r="DB100"/>
      <c r="DC100"/>
      <c r="DD100"/>
      <c r="DE100"/>
      <c r="DF100"/>
      <c r="DG100"/>
      <c r="DH100"/>
      <c r="DI100"/>
      <c r="DJ100"/>
      <c r="DK100"/>
      <c r="DL100"/>
      <c r="DM100"/>
      <c r="DN100"/>
      <c r="DO100"/>
      <c r="DP100"/>
      <c r="DQ100" s="1">
        <f t="shared" si="42"/>
        <v>0</v>
      </c>
      <c r="DR100" s="1">
        <f t="shared" si="43"/>
        <v>0</v>
      </c>
      <c r="DS100" s="1">
        <f t="shared" si="44"/>
        <v>0</v>
      </c>
      <c r="DT100" s="1">
        <f t="shared" si="45"/>
        <v>0</v>
      </c>
      <c r="DU100" s="1">
        <f t="shared" si="46"/>
        <v>0</v>
      </c>
      <c r="DV100" s="1">
        <f t="shared" si="47"/>
        <v>0</v>
      </c>
      <c r="DW100" s="1">
        <f t="shared" si="48"/>
        <v>0</v>
      </c>
      <c r="DX100" s="1">
        <f t="shared" si="49"/>
        <v>0</v>
      </c>
      <c r="DY100" s="1" t="str">
        <f t="array" ref="DY100">_xlfn.LET(
_xlpm.a,LOWER(TRIM(DQ100&amp;"")),
_xlpm.b,LOWER(TRIM(DR100&amp;"")),
_xlpm.x,_xlfn.IFS(_xlpm.a="0",0,_xlpm.a="none",0,_xlpm.a="moderate",1,_xlpm.a="strong",2),
_xlpm.y,_xlfn.IFS(_xlpm.b="0",0,_xlpm.b="none",0,_xlpm.b="moderate",1,_xlpm.b="strong",2),
_xlpm.d,ABS(_xlpm.x-_xlpm.y),
IF(_xlpm.d=0,"green",IF(_xlpm.d=1,"orange",IF(_xlpm.d=2,"red","check")))
)</f>
        <v>green</v>
      </c>
      <c r="DZ100" s="1" t="str">
        <f t="array" ref="DZ100">_xlfn.LET(
_xlpm.a,LOWER(TRIM(DS100&amp;"")),
_xlpm.b,LOWER(TRIM(DT100&amp;"")),
_xlpm.x,_xlfn.IFS(_xlpm.a="0",0,_xlpm.a="none",0,_xlpm.a="moderate",1,_xlpm.a="strong",2),
_xlpm.y,_xlfn.IFS(_xlpm.b="0",0,_xlpm.b="none",0,_xlpm.b="moderate",1,_xlpm.b="strong",2),
_xlpm.d,ABS(_xlpm.x-_xlpm.y),
IF(_xlpm.d=0,"green",IF(_xlpm.d=1,"orange",IF(_xlpm.d=2,"red","check")))
)</f>
        <v>green</v>
      </c>
      <c r="EA100" s="1" t="str">
        <f t="array" ref="EA100">_xlfn.LET(
_xlpm.a,LOWER(TRIM(DU100&amp;"")),
_xlpm.b,LOWER(TRIM(DV100&amp;"")),
_xlpm.x,_xlfn.IFS(_xlpm.a="0",0,_xlpm.a="none",0,_xlpm.a="moderate",1,_xlpm.a="strong",2),
_xlpm.y,_xlfn.IFS(_xlpm.b="0",0,_xlpm.b="none",0,_xlpm.b="moderate",1,_xlpm.b="strong",2),
_xlpm.d,ABS(_xlpm.x-_xlpm.y),
IF(_xlpm.d=0,"green",IF(_xlpm.d=1,"orange",IF(_xlpm.d=2,"red","check")))
)</f>
        <v>green</v>
      </c>
      <c r="EB100" s="1" t="str">
        <f t="array" ref="EB100">_xlfn.LET(
_xlpm.a,LOWER(TRIM(DW100&amp;"")),
_xlpm.b,LOWER(TRIM(DX100&amp;"")),
_xlpm.x,_xlfn.IFS(_xlpm.a="0",0,_xlpm.a="none",0,_xlpm.a="moderate",1,_xlpm.a="strong",2),
_xlpm.y,_xlfn.IFS(_xlpm.b="0",0,_xlpm.b="none",0,_xlpm.b="moderate",1,_xlpm.b="strong",2),
_xlpm.d,ABS(_xlpm.x-_xlpm.y),
IF(_xlpm.d=0,"green",IF(_xlpm.d=1,"orange",IF(_xlpm.d=2,"red","check")))
)</f>
        <v>green</v>
      </c>
      <c r="EC100"/>
      <c r="ED100"/>
      <c r="EE100"/>
      <c r="EF100"/>
      <c r="EG100"/>
      <c r="EH100"/>
      <c r="EI100"/>
      <c r="EJ100"/>
      <c r="EK100"/>
      <c r="EL100"/>
      <c r="EM100"/>
      <c r="EN100"/>
      <c r="EO100"/>
      <c r="EP100"/>
      <c r="EQ100"/>
      <c r="ER100"/>
      <c r="ES100" s="58" t="str">
        <f t="shared" si="33"/>
        <v/>
      </c>
      <c r="ET100" s="58" t="str">
        <f t="shared" si="34"/>
        <v>No</v>
      </c>
      <c r="EU100" s="59" t="str">
        <f t="shared" si="40"/>
        <v>Uninformative</v>
      </c>
      <c r="EV100" s="59" t="str">
        <f t="shared" si="41"/>
        <v>Uninformative</v>
      </c>
      <c r="EW100" s="59" t="str">
        <f t="shared" si="35"/>
        <v>Uninformative</v>
      </c>
      <c r="EX100" s="58" t="str">
        <f t="shared" si="36"/>
        <v>Uninformative</v>
      </c>
      <c r="EY100" s="58" t="str">
        <f t="shared" si="37"/>
        <v>Uninformative</v>
      </c>
      <c r="EZ100" s="58" t="str">
        <f t="shared" si="38"/>
        <v>Uninformative</v>
      </c>
      <c r="FA100" s="58" t="str">
        <f t="shared" si="39"/>
        <v>No</v>
      </c>
    </row>
    <row r="101" spans="1:157" ht="20"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c r="Y101"/>
      <c r="Z101"/>
      <c r="AA101"/>
      <c r="AB101"/>
      <c r="AC101"/>
      <c r="AD101"/>
      <c r="AE101"/>
      <c r="AG101"/>
      <c r="AH101"/>
      <c r="AI101"/>
      <c r="AJ101"/>
      <c r="AK101"/>
      <c r="AL101"/>
      <c r="CZ101"/>
      <c r="DA101"/>
      <c r="DB101"/>
      <c r="DC101"/>
      <c r="DD101"/>
      <c r="DE101"/>
      <c r="DF101"/>
      <c r="DG101"/>
      <c r="DH101"/>
      <c r="DI101"/>
      <c r="DJ101"/>
      <c r="DK101"/>
      <c r="DL101"/>
      <c r="DM101"/>
      <c r="DN101"/>
      <c r="DO101"/>
      <c r="DP101"/>
      <c r="DQ101" s="1">
        <f t="shared" si="42"/>
        <v>0</v>
      </c>
      <c r="DR101" s="1">
        <f t="shared" si="43"/>
        <v>0</v>
      </c>
      <c r="DS101" s="1">
        <f t="shared" si="44"/>
        <v>0</v>
      </c>
      <c r="DT101" s="1">
        <f t="shared" si="45"/>
        <v>0</v>
      </c>
      <c r="DU101" s="1">
        <f t="shared" si="46"/>
        <v>0</v>
      </c>
      <c r="DV101" s="1">
        <f t="shared" si="47"/>
        <v>0</v>
      </c>
      <c r="DW101" s="1">
        <f t="shared" si="48"/>
        <v>0</v>
      </c>
      <c r="DX101" s="1">
        <f t="shared" si="49"/>
        <v>0</v>
      </c>
      <c r="DY101" s="1" t="str">
        <f t="array" ref="DY101">_xlfn.LET(
_xlpm.a,LOWER(TRIM(DQ101&amp;"")),
_xlpm.b,LOWER(TRIM(DR101&amp;"")),
_xlpm.x,_xlfn.IFS(_xlpm.a="0",0,_xlpm.a="none",0,_xlpm.a="moderate",1,_xlpm.a="strong",2),
_xlpm.y,_xlfn.IFS(_xlpm.b="0",0,_xlpm.b="none",0,_xlpm.b="moderate",1,_xlpm.b="strong",2),
_xlpm.d,ABS(_xlpm.x-_xlpm.y),
IF(_xlpm.d=0,"green",IF(_xlpm.d=1,"orange",IF(_xlpm.d=2,"red","check")))
)</f>
        <v>green</v>
      </c>
      <c r="DZ101" s="1" t="str">
        <f t="array" ref="DZ101">_xlfn.LET(
_xlpm.a,LOWER(TRIM(DS101&amp;"")),
_xlpm.b,LOWER(TRIM(DT101&amp;"")),
_xlpm.x,_xlfn.IFS(_xlpm.a="0",0,_xlpm.a="none",0,_xlpm.a="moderate",1,_xlpm.a="strong",2),
_xlpm.y,_xlfn.IFS(_xlpm.b="0",0,_xlpm.b="none",0,_xlpm.b="moderate",1,_xlpm.b="strong",2),
_xlpm.d,ABS(_xlpm.x-_xlpm.y),
IF(_xlpm.d=0,"green",IF(_xlpm.d=1,"orange",IF(_xlpm.d=2,"red","check")))
)</f>
        <v>green</v>
      </c>
      <c r="EA101" s="1" t="str">
        <f t="array" ref="EA101">_xlfn.LET(
_xlpm.a,LOWER(TRIM(DU101&amp;"")),
_xlpm.b,LOWER(TRIM(DV101&amp;"")),
_xlpm.x,_xlfn.IFS(_xlpm.a="0",0,_xlpm.a="none",0,_xlpm.a="moderate",1,_xlpm.a="strong",2),
_xlpm.y,_xlfn.IFS(_xlpm.b="0",0,_xlpm.b="none",0,_xlpm.b="moderate",1,_xlpm.b="strong",2),
_xlpm.d,ABS(_xlpm.x-_xlpm.y),
IF(_xlpm.d=0,"green",IF(_xlpm.d=1,"orange",IF(_xlpm.d=2,"red","check")))
)</f>
        <v>green</v>
      </c>
      <c r="EB101" s="1" t="str">
        <f t="array" ref="EB101">_xlfn.LET(
_xlpm.a,LOWER(TRIM(DW101&amp;"")),
_xlpm.b,LOWER(TRIM(DX101&amp;"")),
_xlpm.x,_xlfn.IFS(_xlpm.a="0",0,_xlpm.a="none",0,_xlpm.a="moderate",1,_xlpm.a="strong",2),
_xlpm.y,_xlfn.IFS(_xlpm.b="0",0,_xlpm.b="none",0,_xlpm.b="moderate",1,_xlpm.b="strong",2),
_xlpm.d,ABS(_xlpm.x-_xlpm.y),
IF(_xlpm.d=0,"green",IF(_xlpm.d=1,"orange",IF(_xlpm.d=2,"red","check")))
)</f>
        <v>green</v>
      </c>
      <c r="EC101"/>
      <c r="ED101"/>
      <c r="EE101"/>
      <c r="EF101"/>
      <c r="EG101"/>
      <c r="EH101"/>
      <c r="EI101"/>
      <c r="EJ101"/>
      <c r="EK101"/>
      <c r="EL101"/>
      <c r="EM101"/>
      <c r="EN101"/>
      <c r="EO101"/>
      <c r="EP101"/>
      <c r="EQ101"/>
      <c r="ER101"/>
      <c r="ES101" s="58" t="str">
        <f t="shared" si="33"/>
        <v/>
      </c>
      <c r="ET101" s="58" t="str">
        <f t="shared" si="34"/>
        <v>No</v>
      </c>
      <c r="EU101" s="59" t="str">
        <f t="shared" si="40"/>
        <v>Uninformative</v>
      </c>
      <c r="EV101" s="59" t="str">
        <f t="shared" si="41"/>
        <v>Uninformative</v>
      </c>
      <c r="EW101" s="59" t="str">
        <f t="shared" si="35"/>
        <v>Uninformative</v>
      </c>
      <c r="EX101" s="58" t="str">
        <f t="shared" si="36"/>
        <v>Uninformative</v>
      </c>
      <c r="EY101" s="58" t="str">
        <f t="shared" si="37"/>
        <v>Uninformative</v>
      </c>
      <c r="EZ101" s="58" t="str">
        <f t="shared" si="38"/>
        <v>Uninformative</v>
      </c>
      <c r="FA101" s="58" t="str">
        <f t="shared" si="39"/>
        <v>No</v>
      </c>
    </row>
    <row r="102" spans="1:157" ht="20"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c r="Y102"/>
      <c r="Z102"/>
      <c r="AA102"/>
      <c r="AB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U102"/>
      <c r="BV102"/>
      <c r="BW102"/>
      <c r="BX102"/>
      <c r="BY102"/>
      <c r="BZ102"/>
      <c r="CB102"/>
      <c r="CC102"/>
      <c r="CD102"/>
      <c r="CF102"/>
      <c r="CG102"/>
      <c r="CH102"/>
      <c r="CJ102"/>
      <c r="CK102"/>
      <c r="CL102"/>
      <c r="CM102"/>
      <c r="CN102"/>
      <c r="CO102"/>
      <c r="CQ102"/>
      <c r="CR102"/>
      <c r="CS102"/>
      <c r="CT102"/>
      <c r="CU102"/>
      <c r="CV102"/>
      <c r="CW102"/>
      <c r="CX102"/>
      <c r="CY102"/>
      <c r="CZ102"/>
      <c r="DA102"/>
      <c r="DB102"/>
      <c r="DC102"/>
      <c r="DD102"/>
      <c r="DE102"/>
      <c r="DF102"/>
      <c r="DG102"/>
      <c r="DH102"/>
      <c r="DI102"/>
      <c r="DJ102"/>
      <c r="DK102"/>
      <c r="DL102"/>
      <c r="DM102"/>
      <c r="DN102"/>
      <c r="DO102"/>
      <c r="DP102"/>
      <c r="DQ102" s="1">
        <f t="shared" si="42"/>
        <v>0</v>
      </c>
      <c r="DR102" s="1">
        <f t="shared" si="43"/>
        <v>0</v>
      </c>
      <c r="DS102" s="1">
        <f t="shared" si="44"/>
        <v>0</v>
      </c>
      <c r="DT102" s="1">
        <f t="shared" si="45"/>
        <v>0</v>
      </c>
      <c r="DU102" s="1">
        <f t="shared" si="46"/>
        <v>0</v>
      </c>
      <c r="DV102" s="1">
        <f t="shared" si="47"/>
        <v>0</v>
      </c>
      <c r="DW102" s="1">
        <f t="shared" si="48"/>
        <v>0</v>
      </c>
      <c r="DX102" s="1">
        <f t="shared" si="49"/>
        <v>0</v>
      </c>
      <c r="DY102" s="1" t="str">
        <f t="array" ref="DY102">_xlfn.LET(
_xlpm.a,LOWER(TRIM(DQ102&amp;"")),
_xlpm.b,LOWER(TRIM(DR102&amp;"")),
_xlpm.x,_xlfn.IFS(_xlpm.a="0",0,_xlpm.a="none",0,_xlpm.a="moderate",1,_xlpm.a="strong",2),
_xlpm.y,_xlfn.IFS(_xlpm.b="0",0,_xlpm.b="none",0,_xlpm.b="moderate",1,_xlpm.b="strong",2),
_xlpm.d,ABS(_xlpm.x-_xlpm.y),
IF(_xlpm.d=0,"green",IF(_xlpm.d=1,"orange",IF(_xlpm.d=2,"red","check")))
)</f>
        <v>green</v>
      </c>
      <c r="DZ102" s="1" t="str">
        <f t="array" ref="DZ102">_xlfn.LET(
_xlpm.a,LOWER(TRIM(DS102&amp;"")),
_xlpm.b,LOWER(TRIM(DT102&amp;"")),
_xlpm.x,_xlfn.IFS(_xlpm.a="0",0,_xlpm.a="none",0,_xlpm.a="moderate",1,_xlpm.a="strong",2),
_xlpm.y,_xlfn.IFS(_xlpm.b="0",0,_xlpm.b="none",0,_xlpm.b="moderate",1,_xlpm.b="strong",2),
_xlpm.d,ABS(_xlpm.x-_xlpm.y),
IF(_xlpm.d=0,"green",IF(_xlpm.d=1,"orange",IF(_xlpm.d=2,"red","check")))
)</f>
        <v>green</v>
      </c>
      <c r="EA102" s="1" t="str">
        <f t="array" ref="EA102">_xlfn.LET(
_xlpm.a,LOWER(TRIM(DU102&amp;"")),
_xlpm.b,LOWER(TRIM(DV102&amp;"")),
_xlpm.x,_xlfn.IFS(_xlpm.a="0",0,_xlpm.a="none",0,_xlpm.a="moderate",1,_xlpm.a="strong",2),
_xlpm.y,_xlfn.IFS(_xlpm.b="0",0,_xlpm.b="none",0,_xlpm.b="moderate",1,_xlpm.b="strong",2),
_xlpm.d,ABS(_xlpm.x-_xlpm.y),
IF(_xlpm.d=0,"green",IF(_xlpm.d=1,"orange",IF(_xlpm.d=2,"red","check")))
)</f>
        <v>green</v>
      </c>
      <c r="EB102" s="1" t="str">
        <f t="array" ref="EB102">_xlfn.LET(
_xlpm.a,LOWER(TRIM(DW102&amp;"")),
_xlpm.b,LOWER(TRIM(DX102&amp;"")),
_xlpm.x,_xlfn.IFS(_xlpm.a="0",0,_xlpm.a="none",0,_xlpm.a="moderate",1,_xlpm.a="strong",2),
_xlpm.y,_xlfn.IFS(_xlpm.b="0",0,_xlpm.b="none",0,_xlpm.b="moderate",1,_xlpm.b="strong",2),
_xlpm.d,ABS(_xlpm.x-_xlpm.y),
IF(_xlpm.d=0,"green",IF(_xlpm.d=1,"orange",IF(_xlpm.d=2,"red","check")))
)</f>
        <v>green</v>
      </c>
      <c r="EC102"/>
      <c r="ED102"/>
      <c r="EE102"/>
      <c r="EF102"/>
      <c r="EG102"/>
      <c r="EH102"/>
      <c r="EI102"/>
      <c r="EJ102"/>
      <c r="EK102"/>
      <c r="EL102"/>
      <c r="EM102"/>
      <c r="EN102"/>
      <c r="EO102"/>
      <c r="EP102"/>
      <c r="EQ102"/>
      <c r="ER102"/>
      <c r="ES102" s="58" t="str">
        <f t="shared" si="33"/>
        <v/>
      </c>
      <c r="ET102" s="58" t="str">
        <f t="shared" si="34"/>
        <v>No</v>
      </c>
      <c r="EU102" s="59" t="str">
        <f t="shared" si="40"/>
        <v>Uninformative</v>
      </c>
      <c r="EV102" s="59" t="str">
        <f t="shared" si="41"/>
        <v>Uninformative</v>
      </c>
      <c r="EW102" s="59" t="str">
        <f t="shared" si="35"/>
        <v>Uninformative</v>
      </c>
      <c r="EX102" s="58" t="str">
        <f t="shared" si="36"/>
        <v>Uninformative</v>
      </c>
      <c r="EY102" s="58" t="str">
        <f t="shared" si="37"/>
        <v>Uninformative</v>
      </c>
      <c r="EZ102" s="58" t="str">
        <f t="shared" si="38"/>
        <v>Uninformative</v>
      </c>
      <c r="FA102" s="58" t="str">
        <f t="shared" si="39"/>
        <v>No</v>
      </c>
    </row>
    <row r="103" spans="1:157" ht="20"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c r="Y103"/>
      <c r="Z103"/>
      <c r="AA103"/>
      <c r="AB103"/>
      <c r="AC103"/>
      <c r="AD103"/>
      <c r="AE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Q103"/>
      <c r="BR103"/>
      <c r="BS103"/>
      <c r="BT103"/>
      <c r="BU103"/>
      <c r="BV103"/>
      <c r="BW103"/>
      <c r="BX103"/>
      <c r="BY103"/>
      <c r="BZ103"/>
      <c r="CB103"/>
      <c r="CC103"/>
      <c r="CD103"/>
      <c r="CF103"/>
      <c r="CG103"/>
      <c r="CH103"/>
      <c r="CJ103"/>
      <c r="CK103"/>
      <c r="CL103"/>
      <c r="CM103"/>
      <c r="CN103"/>
      <c r="CP103"/>
      <c r="CQ103"/>
      <c r="CR103"/>
      <c r="CS103"/>
      <c r="CT103"/>
      <c r="CU103"/>
      <c r="CV103"/>
      <c r="CW103"/>
      <c r="CX103"/>
      <c r="CY103"/>
      <c r="CZ103"/>
      <c r="DA103"/>
      <c r="DB103"/>
      <c r="DC103"/>
      <c r="DD103"/>
      <c r="DE103"/>
      <c r="DF103"/>
      <c r="DG103"/>
      <c r="DH103"/>
      <c r="DI103"/>
      <c r="DJ103"/>
      <c r="DK103"/>
      <c r="DL103"/>
      <c r="DM103"/>
      <c r="DN103"/>
      <c r="DO103"/>
      <c r="DP103"/>
      <c r="DQ103" s="1">
        <f t="shared" si="42"/>
        <v>0</v>
      </c>
      <c r="DR103" s="1">
        <f t="shared" si="43"/>
        <v>0</v>
      </c>
      <c r="DS103" s="1">
        <f t="shared" si="44"/>
        <v>0</v>
      </c>
      <c r="DT103" s="1">
        <f t="shared" si="45"/>
        <v>0</v>
      </c>
      <c r="DU103" s="1">
        <f t="shared" si="46"/>
        <v>0</v>
      </c>
      <c r="DV103" s="1">
        <f t="shared" si="47"/>
        <v>0</v>
      </c>
      <c r="DW103" s="1">
        <f t="shared" si="48"/>
        <v>0</v>
      </c>
      <c r="DX103" s="1">
        <f t="shared" si="49"/>
        <v>0</v>
      </c>
      <c r="DY103" s="1" t="str">
        <f t="array" ref="DY103">_xlfn.LET(
_xlpm.a,LOWER(TRIM(DQ103&amp;"")),
_xlpm.b,LOWER(TRIM(DR103&amp;"")),
_xlpm.x,_xlfn.IFS(_xlpm.a="0",0,_xlpm.a="none",0,_xlpm.a="moderate",1,_xlpm.a="strong",2),
_xlpm.y,_xlfn.IFS(_xlpm.b="0",0,_xlpm.b="none",0,_xlpm.b="moderate",1,_xlpm.b="strong",2),
_xlpm.d,ABS(_xlpm.x-_xlpm.y),
IF(_xlpm.d=0,"green",IF(_xlpm.d=1,"orange",IF(_xlpm.d=2,"red","check")))
)</f>
        <v>green</v>
      </c>
      <c r="DZ103" s="1" t="str">
        <f t="array" ref="DZ103">_xlfn.LET(
_xlpm.a,LOWER(TRIM(DS103&amp;"")),
_xlpm.b,LOWER(TRIM(DT103&amp;"")),
_xlpm.x,_xlfn.IFS(_xlpm.a="0",0,_xlpm.a="none",0,_xlpm.a="moderate",1,_xlpm.a="strong",2),
_xlpm.y,_xlfn.IFS(_xlpm.b="0",0,_xlpm.b="none",0,_xlpm.b="moderate",1,_xlpm.b="strong",2),
_xlpm.d,ABS(_xlpm.x-_xlpm.y),
IF(_xlpm.d=0,"green",IF(_xlpm.d=1,"orange",IF(_xlpm.d=2,"red","check")))
)</f>
        <v>green</v>
      </c>
      <c r="EA103" s="1" t="str">
        <f t="array" ref="EA103">_xlfn.LET(
_xlpm.a,LOWER(TRIM(DU103&amp;"")),
_xlpm.b,LOWER(TRIM(DV103&amp;"")),
_xlpm.x,_xlfn.IFS(_xlpm.a="0",0,_xlpm.a="none",0,_xlpm.a="moderate",1,_xlpm.a="strong",2),
_xlpm.y,_xlfn.IFS(_xlpm.b="0",0,_xlpm.b="none",0,_xlpm.b="moderate",1,_xlpm.b="strong",2),
_xlpm.d,ABS(_xlpm.x-_xlpm.y),
IF(_xlpm.d=0,"green",IF(_xlpm.d=1,"orange",IF(_xlpm.d=2,"red","check")))
)</f>
        <v>green</v>
      </c>
      <c r="EB103" s="1" t="str">
        <f t="array" ref="EB103">_xlfn.LET(
_xlpm.a,LOWER(TRIM(DW103&amp;"")),
_xlpm.b,LOWER(TRIM(DX103&amp;"")),
_xlpm.x,_xlfn.IFS(_xlpm.a="0",0,_xlpm.a="none",0,_xlpm.a="moderate",1,_xlpm.a="strong",2),
_xlpm.y,_xlfn.IFS(_xlpm.b="0",0,_xlpm.b="none",0,_xlpm.b="moderate",1,_xlpm.b="strong",2),
_xlpm.d,ABS(_xlpm.x-_xlpm.y),
IF(_xlpm.d=0,"green",IF(_xlpm.d=1,"orange",IF(_xlpm.d=2,"red","check")))
)</f>
        <v>green</v>
      </c>
      <c r="EC103"/>
      <c r="ED103"/>
      <c r="EE103"/>
      <c r="EF103"/>
      <c r="EG103"/>
      <c r="EH103"/>
      <c r="EI103"/>
      <c r="EJ103"/>
      <c r="EK103"/>
      <c r="EL103"/>
      <c r="EM103"/>
      <c r="EN103"/>
      <c r="EO103"/>
      <c r="EP103"/>
      <c r="EQ103"/>
      <c r="ER103"/>
      <c r="ES103" s="58" t="str">
        <f t="shared" si="33"/>
        <v/>
      </c>
      <c r="ET103" s="58" t="str">
        <f t="shared" si="34"/>
        <v>No</v>
      </c>
      <c r="EU103" s="59" t="str">
        <f t="shared" si="40"/>
        <v>Uninformative</v>
      </c>
      <c r="EV103" s="59" t="str">
        <f t="shared" si="41"/>
        <v>Uninformative</v>
      </c>
      <c r="EW103" s="59" t="str">
        <f t="shared" si="35"/>
        <v>Uninformative</v>
      </c>
      <c r="EX103" s="58" t="str">
        <f t="shared" si="36"/>
        <v>Uninformative</v>
      </c>
      <c r="EY103" s="58" t="str">
        <f t="shared" si="37"/>
        <v>Uninformative</v>
      </c>
      <c r="EZ103" s="58" t="str">
        <f t="shared" si="38"/>
        <v>Uninformative</v>
      </c>
      <c r="FA103" s="58" t="str">
        <f t="shared" si="39"/>
        <v>No</v>
      </c>
    </row>
    <row r="104" spans="1:157" ht="20"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c r="Z104"/>
      <c r="AA104"/>
      <c r="AB104"/>
      <c r="AG104" s="21"/>
      <c r="AH104"/>
      <c r="AI104"/>
      <c r="AJ104"/>
      <c r="AK104"/>
      <c r="AL104"/>
      <c r="AM104"/>
      <c r="AN104"/>
      <c r="AO104"/>
      <c r="AP104"/>
      <c r="AQ104"/>
      <c r="AR104"/>
      <c r="AS104"/>
      <c r="AT104"/>
      <c r="AU104"/>
      <c r="AV104"/>
      <c r="AW104"/>
      <c r="AX104"/>
      <c r="AY104"/>
      <c r="AZ104"/>
      <c r="BE104"/>
      <c r="BF104"/>
      <c r="BG104"/>
      <c r="BH104"/>
      <c r="BU104"/>
      <c r="BV104"/>
      <c r="BW104"/>
      <c r="BX104"/>
      <c r="BY104"/>
      <c r="BZ104"/>
      <c r="CB104"/>
      <c r="CC104"/>
      <c r="CD104"/>
      <c r="CF104"/>
      <c r="CG104"/>
      <c r="CH104"/>
      <c r="CJ104"/>
      <c r="CK104"/>
      <c r="CM104"/>
      <c r="CQ104"/>
      <c r="CR104"/>
      <c r="CS104"/>
      <c r="CT104"/>
      <c r="CU104"/>
      <c r="CV104"/>
      <c r="CW104"/>
      <c r="CX104"/>
      <c r="CY104"/>
      <c r="CZ104"/>
      <c r="DA104"/>
      <c r="DB104"/>
      <c r="DC104"/>
      <c r="DD104"/>
      <c r="DE104"/>
      <c r="DF104"/>
      <c r="DG104"/>
      <c r="DH104"/>
      <c r="DI104"/>
      <c r="DJ104"/>
      <c r="DK104"/>
      <c r="DL104"/>
      <c r="DM104"/>
      <c r="DN104"/>
      <c r="DO104"/>
      <c r="DP104"/>
      <c r="DQ104" s="1">
        <f t="shared" si="42"/>
        <v>0</v>
      </c>
      <c r="DR104" s="1">
        <f t="shared" si="43"/>
        <v>0</v>
      </c>
      <c r="DS104" s="1">
        <f t="shared" si="44"/>
        <v>0</v>
      </c>
      <c r="DT104" s="1">
        <f t="shared" si="45"/>
        <v>0</v>
      </c>
      <c r="DU104" s="1">
        <f t="shared" si="46"/>
        <v>0</v>
      </c>
      <c r="DV104" s="1">
        <f t="shared" si="47"/>
        <v>0</v>
      </c>
      <c r="DW104" s="1">
        <f t="shared" si="48"/>
        <v>0</v>
      </c>
      <c r="DX104" s="1">
        <f t="shared" si="49"/>
        <v>0</v>
      </c>
      <c r="DY104" s="1" t="str">
        <f t="array" ref="DY104">_xlfn.LET(
_xlpm.a,LOWER(TRIM(DQ104&amp;"")),
_xlpm.b,LOWER(TRIM(DR104&amp;"")),
_xlpm.x,_xlfn.IFS(_xlpm.a="0",0,_xlpm.a="none",0,_xlpm.a="moderate",1,_xlpm.a="strong",2),
_xlpm.y,_xlfn.IFS(_xlpm.b="0",0,_xlpm.b="none",0,_xlpm.b="moderate",1,_xlpm.b="strong",2),
_xlpm.d,ABS(_xlpm.x-_xlpm.y),
IF(_xlpm.d=0,"green",IF(_xlpm.d=1,"orange",IF(_xlpm.d=2,"red","check")))
)</f>
        <v>green</v>
      </c>
      <c r="DZ104" s="1" t="str">
        <f t="array" ref="DZ104">_xlfn.LET(
_xlpm.a,LOWER(TRIM(DS104&amp;"")),
_xlpm.b,LOWER(TRIM(DT104&amp;"")),
_xlpm.x,_xlfn.IFS(_xlpm.a="0",0,_xlpm.a="none",0,_xlpm.a="moderate",1,_xlpm.a="strong",2),
_xlpm.y,_xlfn.IFS(_xlpm.b="0",0,_xlpm.b="none",0,_xlpm.b="moderate",1,_xlpm.b="strong",2),
_xlpm.d,ABS(_xlpm.x-_xlpm.y),
IF(_xlpm.d=0,"green",IF(_xlpm.d=1,"orange",IF(_xlpm.d=2,"red","check")))
)</f>
        <v>green</v>
      </c>
      <c r="EA104" s="1" t="str">
        <f t="array" ref="EA104">_xlfn.LET(
_xlpm.a,LOWER(TRIM(DU104&amp;"")),
_xlpm.b,LOWER(TRIM(DV104&amp;"")),
_xlpm.x,_xlfn.IFS(_xlpm.a="0",0,_xlpm.a="none",0,_xlpm.a="moderate",1,_xlpm.a="strong",2),
_xlpm.y,_xlfn.IFS(_xlpm.b="0",0,_xlpm.b="none",0,_xlpm.b="moderate",1,_xlpm.b="strong",2),
_xlpm.d,ABS(_xlpm.x-_xlpm.y),
IF(_xlpm.d=0,"green",IF(_xlpm.d=1,"orange",IF(_xlpm.d=2,"red","check")))
)</f>
        <v>green</v>
      </c>
      <c r="EB104" s="1" t="str">
        <f t="array" ref="EB104">_xlfn.LET(
_xlpm.a,LOWER(TRIM(DW104&amp;"")),
_xlpm.b,LOWER(TRIM(DX104&amp;"")),
_xlpm.x,_xlfn.IFS(_xlpm.a="0",0,_xlpm.a="none",0,_xlpm.a="moderate",1,_xlpm.a="strong",2),
_xlpm.y,_xlfn.IFS(_xlpm.b="0",0,_xlpm.b="none",0,_xlpm.b="moderate",1,_xlpm.b="strong",2),
_xlpm.d,ABS(_xlpm.x-_xlpm.y),
IF(_xlpm.d=0,"green",IF(_xlpm.d=1,"orange",IF(_xlpm.d=2,"red","check")))
)</f>
        <v>green</v>
      </c>
      <c r="EC104"/>
      <c r="ED104"/>
      <c r="EE104"/>
      <c r="EF104"/>
      <c r="EG104"/>
      <c r="EH104"/>
      <c r="EI104"/>
      <c r="EJ104"/>
      <c r="EK104"/>
      <c r="EL104"/>
      <c r="EM104"/>
      <c r="EN104"/>
      <c r="EO104"/>
      <c r="EP104"/>
      <c r="EQ104"/>
      <c r="ER104"/>
      <c r="ES104" s="58" t="str">
        <f t="shared" si="33"/>
        <v/>
      </c>
      <c r="ET104" s="58" t="str">
        <f t="shared" si="34"/>
        <v>No</v>
      </c>
      <c r="EU104" s="59" t="str">
        <f t="shared" si="40"/>
        <v>Uninformative</v>
      </c>
      <c r="EV104" s="59" t="str">
        <f t="shared" si="41"/>
        <v>Uninformative</v>
      </c>
      <c r="EW104" s="59" t="str">
        <f t="shared" si="35"/>
        <v>Uninformative</v>
      </c>
      <c r="EX104" s="58" t="str">
        <f t="shared" si="36"/>
        <v>Uninformative</v>
      </c>
      <c r="EY104" s="58" t="str">
        <f t="shared" si="37"/>
        <v>Uninformative</v>
      </c>
      <c r="EZ104" s="58" t="str">
        <f t="shared" si="38"/>
        <v>Uninformative</v>
      </c>
      <c r="FA104" s="58" t="str">
        <f t="shared" si="39"/>
        <v>No</v>
      </c>
    </row>
    <row r="105" spans="1:157" ht="20"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c r="Y105"/>
      <c r="Z105"/>
      <c r="AA105"/>
      <c r="AB105"/>
      <c r="AC105"/>
      <c r="AD105"/>
      <c r="AE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Q105"/>
      <c r="BR105"/>
      <c r="BS105"/>
      <c r="BT105"/>
      <c r="BU105"/>
      <c r="BV105"/>
      <c r="BW105"/>
      <c r="BX105"/>
      <c r="BY105"/>
      <c r="BZ105"/>
      <c r="CB105"/>
      <c r="CC105"/>
      <c r="CD105"/>
      <c r="CF105"/>
      <c r="CG105"/>
      <c r="CH105"/>
      <c r="CJ105"/>
      <c r="CK105"/>
      <c r="CL105"/>
      <c r="CM105"/>
      <c r="CN105"/>
      <c r="CP105"/>
      <c r="CQ105"/>
      <c r="CR105"/>
      <c r="CS105"/>
      <c r="CT105"/>
      <c r="CU105"/>
      <c r="CV105"/>
      <c r="CW105"/>
      <c r="CX105"/>
      <c r="CY105"/>
      <c r="CZ105"/>
      <c r="DA105"/>
      <c r="DB105"/>
      <c r="DC105"/>
      <c r="DD105"/>
      <c r="DE105"/>
      <c r="DF105"/>
      <c r="DG105"/>
      <c r="DH105"/>
      <c r="DI105"/>
      <c r="DJ105"/>
      <c r="DK105"/>
      <c r="DL105"/>
      <c r="DM105"/>
      <c r="DN105"/>
      <c r="DO105"/>
      <c r="DP105"/>
      <c r="DQ105" s="1">
        <f t="shared" si="42"/>
        <v>0</v>
      </c>
      <c r="DR105" s="1">
        <f t="shared" si="43"/>
        <v>0</v>
      </c>
      <c r="DS105" s="1">
        <f t="shared" si="44"/>
        <v>0</v>
      </c>
      <c r="DT105" s="1">
        <f t="shared" si="45"/>
        <v>0</v>
      </c>
      <c r="DU105" s="1">
        <f t="shared" si="46"/>
        <v>0</v>
      </c>
      <c r="DV105" s="1">
        <f t="shared" si="47"/>
        <v>0</v>
      </c>
      <c r="DW105" s="1">
        <f t="shared" si="48"/>
        <v>0</v>
      </c>
      <c r="DX105" s="1">
        <f t="shared" si="49"/>
        <v>0</v>
      </c>
      <c r="DY105" s="1" t="str">
        <f t="array" ref="DY105">_xlfn.LET(
_xlpm.a,LOWER(TRIM(DQ105&amp;"")),
_xlpm.b,LOWER(TRIM(DR105&amp;"")),
_xlpm.x,_xlfn.IFS(_xlpm.a="0",0,_xlpm.a="none",0,_xlpm.a="moderate",1,_xlpm.a="strong",2),
_xlpm.y,_xlfn.IFS(_xlpm.b="0",0,_xlpm.b="none",0,_xlpm.b="moderate",1,_xlpm.b="strong",2),
_xlpm.d,ABS(_xlpm.x-_xlpm.y),
IF(_xlpm.d=0,"green",IF(_xlpm.d=1,"orange",IF(_xlpm.d=2,"red","check")))
)</f>
        <v>green</v>
      </c>
      <c r="DZ105" s="1" t="str">
        <f t="array" ref="DZ105">_xlfn.LET(
_xlpm.a,LOWER(TRIM(DS105&amp;"")),
_xlpm.b,LOWER(TRIM(DT105&amp;"")),
_xlpm.x,_xlfn.IFS(_xlpm.a="0",0,_xlpm.a="none",0,_xlpm.a="moderate",1,_xlpm.a="strong",2),
_xlpm.y,_xlfn.IFS(_xlpm.b="0",0,_xlpm.b="none",0,_xlpm.b="moderate",1,_xlpm.b="strong",2),
_xlpm.d,ABS(_xlpm.x-_xlpm.y),
IF(_xlpm.d=0,"green",IF(_xlpm.d=1,"orange",IF(_xlpm.d=2,"red","check")))
)</f>
        <v>green</v>
      </c>
      <c r="EA105" s="1" t="str">
        <f t="array" ref="EA105">_xlfn.LET(
_xlpm.a,LOWER(TRIM(DU105&amp;"")),
_xlpm.b,LOWER(TRIM(DV105&amp;"")),
_xlpm.x,_xlfn.IFS(_xlpm.a="0",0,_xlpm.a="none",0,_xlpm.a="moderate",1,_xlpm.a="strong",2),
_xlpm.y,_xlfn.IFS(_xlpm.b="0",0,_xlpm.b="none",0,_xlpm.b="moderate",1,_xlpm.b="strong",2),
_xlpm.d,ABS(_xlpm.x-_xlpm.y),
IF(_xlpm.d=0,"green",IF(_xlpm.d=1,"orange",IF(_xlpm.d=2,"red","check")))
)</f>
        <v>green</v>
      </c>
      <c r="EB105" s="1" t="str">
        <f t="array" ref="EB105">_xlfn.LET(
_xlpm.a,LOWER(TRIM(DW105&amp;"")),
_xlpm.b,LOWER(TRIM(DX105&amp;"")),
_xlpm.x,_xlfn.IFS(_xlpm.a="0",0,_xlpm.a="none",0,_xlpm.a="moderate",1,_xlpm.a="strong",2),
_xlpm.y,_xlfn.IFS(_xlpm.b="0",0,_xlpm.b="none",0,_xlpm.b="moderate",1,_xlpm.b="strong",2),
_xlpm.d,ABS(_xlpm.x-_xlpm.y),
IF(_xlpm.d=0,"green",IF(_xlpm.d=1,"orange",IF(_xlpm.d=2,"red","check")))
)</f>
        <v>green</v>
      </c>
      <c r="EC105"/>
      <c r="ED105"/>
      <c r="EE105"/>
      <c r="EF105"/>
      <c r="EG105"/>
      <c r="EH105"/>
      <c r="EI105"/>
      <c r="EJ105"/>
      <c r="EK105"/>
      <c r="EL105"/>
      <c r="EM105"/>
      <c r="EN105"/>
      <c r="EO105"/>
      <c r="EP105"/>
      <c r="EQ105"/>
      <c r="ER105"/>
      <c r="ES105" s="58" t="str">
        <f t="shared" si="33"/>
        <v/>
      </c>
      <c r="ET105" s="58" t="str">
        <f t="shared" si="34"/>
        <v>No</v>
      </c>
      <c r="EU105" s="59" t="str">
        <f t="shared" si="40"/>
        <v>Uninformative</v>
      </c>
      <c r="EV105" s="59" t="str">
        <f t="shared" si="41"/>
        <v>Uninformative</v>
      </c>
      <c r="EW105" s="59" t="str">
        <f t="shared" si="35"/>
        <v>Uninformative</v>
      </c>
      <c r="EX105" s="58" t="str">
        <f t="shared" si="36"/>
        <v>Uninformative</v>
      </c>
      <c r="EY105" s="58" t="str">
        <f t="shared" si="37"/>
        <v>Uninformative</v>
      </c>
      <c r="EZ105" s="58" t="str">
        <f t="shared" si="38"/>
        <v>Uninformative</v>
      </c>
      <c r="FA105" s="58" t="str">
        <f t="shared" si="39"/>
        <v>No</v>
      </c>
    </row>
  </sheetData>
  <autoFilter ref="A2:CY105" xr:uid="{00000000-0009-0000-0000-000000000000}"/>
  <mergeCells count="15">
    <mergeCell ref="ES1:FA1"/>
    <mergeCell ref="A1:W1"/>
    <mergeCell ref="AA1:AF1"/>
    <mergeCell ref="CF1:CI1"/>
    <mergeCell ref="AG1:AL1"/>
    <mergeCell ref="AW1:BT1"/>
    <mergeCell ref="BU1:CA1"/>
    <mergeCell ref="EC1:ER1"/>
    <mergeCell ref="AM1:AV1"/>
    <mergeCell ref="DQ1:EB1"/>
    <mergeCell ref="X1:Z1"/>
    <mergeCell ref="CB1:CE1"/>
    <mergeCell ref="CJ1:CP1"/>
    <mergeCell ref="CQ1:CY1"/>
    <mergeCell ref="CZ1:DO1"/>
  </mergeCells>
  <conditionalFormatting sqref="DY1:EB1048576">
    <cfRule type="containsText" dxfId="2" priority="1" operator="containsText" text="red">
      <formula>NOT(ISERROR(SEARCH("red",DY1)))</formula>
    </cfRule>
    <cfRule type="containsText" dxfId="1" priority="2" operator="containsText" text="orange">
      <formula>NOT(ISERROR(SEARCH("orange",DY1)))</formula>
    </cfRule>
    <cfRule type="containsText" dxfId="0" priority="3" operator="containsText" text="green">
      <formula>NOT(ISERROR(SEARCH("green",DY1)))</formula>
    </cfRule>
    <cfRule type="colorScale" priority="4">
      <colorScale>
        <cfvo type="min"/>
        <cfvo type="percentile" val="50"/>
        <cfvo type="max"/>
        <color rgb="FFF8696B"/>
        <color rgb="FFFFEB84"/>
        <color rgb="FF63BE7B"/>
      </colorScale>
    </cfRule>
  </conditionalFormatting>
  <pageMargins left="1" right="1" top="1" bottom="1" header="0.25" footer="0.25"/>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30"/>
  <sheetViews>
    <sheetView zoomScale="75" workbookViewId="0">
      <selection activeCell="F2" sqref="F2"/>
    </sheetView>
  </sheetViews>
  <sheetFormatPr baseColWidth="10" defaultRowHeight="13"/>
  <cols>
    <col min="1" max="3" width="23.6640625" style="18" customWidth="1"/>
    <col min="4" max="4" width="27.1640625" style="18" customWidth="1"/>
    <col min="5" max="5" width="21.83203125" style="18" customWidth="1"/>
    <col min="6" max="6" width="26.33203125" style="18" customWidth="1"/>
    <col min="7" max="7" width="23" style="18" customWidth="1"/>
    <col min="8" max="8" width="20.5" style="18" customWidth="1"/>
    <col min="9" max="11" width="23.33203125" style="18" customWidth="1"/>
    <col min="12" max="12" width="21.5" style="18" customWidth="1"/>
    <col min="13" max="13" width="18.1640625" style="18" customWidth="1"/>
  </cols>
  <sheetData>
    <row r="1" spans="1:18" ht="14" customHeight="1">
      <c r="A1" s="17" t="s">
        <v>240</v>
      </c>
      <c r="B1" s="17" t="s">
        <v>241</v>
      </c>
      <c r="C1" s="17" t="s">
        <v>242</v>
      </c>
      <c r="D1" s="17" t="s">
        <v>243</v>
      </c>
      <c r="E1" s="17" t="s">
        <v>244</v>
      </c>
      <c r="F1" s="17" t="s">
        <v>245</v>
      </c>
      <c r="G1" s="17" t="s">
        <v>246</v>
      </c>
      <c r="H1" s="17" t="s">
        <v>247</v>
      </c>
      <c r="I1" s="17" t="s">
        <v>248</v>
      </c>
      <c r="J1" s="17" t="s">
        <v>249</v>
      </c>
      <c r="K1" s="17" t="s">
        <v>250</v>
      </c>
      <c r="L1" s="17" t="s">
        <v>251</v>
      </c>
      <c r="M1" s="17" t="s">
        <v>252</v>
      </c>
      <c r="N1" s="17" t="s">
        <v>253</v>
      </c>
    </row>
    <row r="2" spans="1:18" ht="409.5" customHeight="1">
      <c r="A2" t="s">
        <v>192</v>
      </c>
      <c r="B2">
        <v>1</v>
      </c>
      <c r="C2" t="s">
        <v>254</v>
      </c>
      <c r="D2" s="16" t="s">
        <v>255</v>
      </c>
      <c r="E2" s="16" t="s">
        <v>256</v>
      </c>
      <c r="F2" t="s">
        <v>257</v>
      </c>
      <c r="G2" t="s">
        <v>258</v>
      </c>
      <c r="H2">
        <v>0.65</v>
      </c>
      <c r="I2" s="16" t="s">
        <v>259</v>
      </c>
      <c r="J2" t="str">
        <f t="shared" ref="J2:J65" si="0">IF(OR(I2="Epistemic hedging",I2="Qualifying severity while disclosing",I2="Downgrading emotional intensity"),"Hedged, qualified disclosure",IF(OR(I2="Externalizing accountability",I2="Self-attributing structural problems"),"Protective attribution shifting",IF(OR(I2="Refusal to elaborate under probing",I2="Retracting or qualifying disclosure"),"Withholding under probing",IF(OR(I2="Managing traceability and exposure",I2="Compartmentalizing the AI channel"),"Channel exposure management",IF(OR(I2="Skepticism toward remedy",I2="Anticipating dismissal or misrecognition"),"Anticipated futility of voice",IF(OR(I2="Calling out known but unaddressed issues",I2="Silence within expression"),"Recognized but unescalated concerns",I2))))))</f>
        <v>Rationalizing leadership absence</v>
      </c>
      <c r="K2" t="e">
        <f>_xlfn.XLOOKUP(J2,#REF!,#REF!,"0",0,1)</f>
        <v>#REF!</v>
      </c>
      <c r="N2" t="str">
        <f>IFERROR(INDEX('Hoja 1 - Supabase Transcripts'!$A:$DN,MATCH(A2,'Hoja 1 - Supabase Transcripts'!$A:$A,0),MATCH("gap_segmentation_"&amp;E2,'Hoja 1 - Supabase Transcripts'!$2:$2,0)),"not found")</f>
        <v>not found</v>
      </c>
      <c r="R2" s="16">
        <f>COUNTA(_xlfn.UNIQUE(A2:A429))</f>
        <v>79</v>
      </c>
    </row>
    <row r="3" spans="1:18" ht="409.5" customHeight="1">
      <c r="A3" t="s">
        <v>192</v>
      </c>
      <c r="B3">
        <v>1</v>
      </c>
      <c r="C3" t="s">
        <v>254</v>
      </c>
      <c r="D3" t="s">
        <v>260</v>
      </c>
      <c r="E3" t="s">
        <v>261</v>
      </c>
      <c r="F3" t="s">
        <v>262</v>
      </c>
      <c r="G3" t="s">
        <v>263</v>
      </c>
      <c r="H3">
        <v>0.7</v>
      </c>
      <c r="I3" t="s">
        <v>264</v>
      </c>
      <c r="J3" t="str">
        <f t="shared" si="0"/>
        <v>Concern content - FAMILY A</v>
      </c>
      <c r="K3"/>
      <c r="N3" t="str">
        <f>IFERROR(INDEX('Hoja 1 - Supabase Transcripts'!$A:$DN,MATCH(A3,'Hoja 1 - Supabase Transcripts'!$A:$A,0),MATCH("gap_segmentation_"&amp;E3,'Hoja 1 - Supabase Transcripts'!$2:$2,0)),"not found")</f>
        <v>not found</v>
      </c>
    </row>
    <row r="4" spans="1:18" ht="409.5" customHeight="1">
      <c r="A4" t="s">
        <v>192</v>
      </c>
      <c r="B4">
        <v>1</v>
      </c>
      <c r="C4" t="s">
        <v>254</v>
      </c>
      <c r="D4" t="s">
        <v>265</v>
      </c>
      <c r="E4" s="16" t="s">
        <v>266</v>
      </c>
      <c r="F4" t="s">
        <v>267</v>
      </c>
      <c r="G4" t="s">
        <v>268</v>
      </c>
      <c r="H4">
        <v>0.75</v>
      </c>
      <c r="I4" t="s">
        <v>269</v>
      </c>
      <c r="J4" t="str">
        <f t="shared" si="0"/>
        <v>Hedged, qualified disclosure</v>
      </c>
      <c r="K4" t="e">
        <f>_xlfn.XLOOKUP(J4,#REF!,#REF!,"0",0,1)</f>
        <v>#REF!</v>
      </c>
      <c r="N4" t="str">
        <f>IFERROR(INDEX('Hoja 1 - Supabase Transcripts'!$A:$DN,MATCH(A4,'Hoja 1 - Supabase Transcripts'!$A:$A,0),MATCH("gap_segmentation_"&amp;E4,'Hoja 1 - Supabase Transcripts'!$2:$2,0)),"not found")</f>
        <v>not found</v>
      </c>
    </row>
    <row r="5" spans="1:18" ht="409.5" customHeight="1">
      <c r="A5" t="s">
        <v>232</v>
      </c>
      <c r="B5">
        <v>1</v>
      </c>
      <c r="C5" t="s">
        <v>270</v>
      </c>
      <c r="D5" t="s">
        <v>271</v>
      </c>
      <c r="E5" t="s">
        <v>256</v>
      </c>
      <c r="F5" t="s">
        <v>272</v>
      </c>
      <c r="G5" t="s">
        <v>273</v>
      </c>
      <c r="H5">
        <v>0.9</v>
      </c>
      <c r="I5" t="s">
        <v>274</v>
      </c>
      <c r="J5" t="str">
        <f t="shared" si="0"/>
        <v>FAMILY_A_CONCERN_CONTENT</v>
      </c>
      <c r="K5"/>
      <c r="N5" t="str">
        <f>IFERROR(INDEX('Hoja 1 - Supabase Transcripts'!$A:$DN,MATCH(A5,'Hoja 1 - Supabase Transcripts'!$A:$A,0),MATCH("gap_segmentation_"&amp;E5,'Hoja 1 - Supabase Transcripts'!$2:$2,0)),"not found")</f>
        <v>not found</v>
      </c>
    </row>
    <row r="6" spans="1:18" ht="409.5" customHeight="1">
      <c r="A6" t="s">
        <v>232</v>
      </c>
      <c r="B6">
        <v>1</v>
      </c>
      <c r="C6" t="s">
        <v>270</v>
      </c>
      <c r="D6" t="s">
        <v>275</v>
      </c>
      <c r="E6" t="s">
        <v>256</v>
      </c>
      <c r="F6" t="s">
        <v>276</v>
      </c>
      <c r="G6" t="s">
        <v>277</v>
      </c>
      <c r="H6">
        <v>0.9</v>
      </c>
      <c r="I6" t="s">
        <v>264</v>
      </c>
      <c r="J6" t="str">
        <f t="shared" si="0"/>
        <v>Concern content - FAMILY A</v>
      </c>
      <c r="K6"/>
      <c r="N6" t="str">
        <f>IFERROR(INDEX('Hoja 1 - Supabase Transcripts'!$A:$DN,MATCH(A6,'Hoja 1 - Supabase Transcripts'!$A:$A,0),MATCH("gap_segmentation_"&amp;E6,'Hoja 1 - Supabase Transcripts'!$2:$2,0)),"not found")</f>
        <v>not found</v>
      </c>
    </row>
    <row r="7" spans="1:18" ht="409.5" customHeight="1">
      <c r="A7" t="s">
        <v>232</v>
      </c>
      <c r="B7">
        <v>1</v>
      </c>
      <c r="C7" t="s">
        <v>270</v>
      </c>
      <c r="D7" t="s">
        <v>278</v>
      </c>
      <c r="E7" s="16" t="s">
        <v>256</v>
      </c>
      <c r="F7" t="s">
        <v>279</v>
      </c>
      <c r="G7" t="s">
        <v>280</v>
      </c>
      <c r="H7">
        <v>0.85</v>
      </c>
      <c r="I7" t="s">
        <v>281</v>
      </c>
      <c r="J7" t="str">
        <f t="shared" si="0"/>
        <v>Aspirational framing of unmet needs</v>
      </c>
      <c r="K7" t="e">
        <f>_xlfn.XLOOKUP(J7,#REF!,#REF!,"0",0,1)</f>
        <v>#REF!</v>
      </c>
      <c r="N7" t="str">
        <f>IFERROR(INDEX('Hoja 1 - Supabase Transcripts'!$A:$DN,MATCH(A7,'Hoja 1 - Supabase Transcripts'!$A:$A,0),MATCH("gap_segmentation_"&amp;E7,'Hoja 1 - Supabase Transcripts'!$2:$2,0)),"not found")</f>
        <v>not found</v>
      </c>
    </row>
    <row r="8" spans="1:18" ht="409.5" customHeight="1">
      <c r="A8" t="s">
        <v>232</v>
      </c>
      <c r="B8">
        <v>1</v>
      </c>
      <c r="C8" t="s">
        <v>270</v>
      </c>
      <c r="D8" t="s">
        <v>282</v>
      </c>
      <c r="E8" s="16" t="s">
        <v>256</v>
      </c>
      <c r="F8" t="s">
        <v>283</v>
      </c>
      <c r="G8" t="s">
        <v>284</v>
      </c>
      <c r="H8">
        <v>0.95</v>
      </c>
      <c r="I8" t="s">
        <v>285</v>
      </c>
      <c r="J8" t="str">
        <f t="shared" si="0"/>
        <v>Anticipated futility of voice</v>
      </c>
      <c r="K8" t="e">
        <f>_xlfn.XLOOKUP(J8,#REF!,#REF!,"0",0,1)</f>
        <v>#REF!</v>
      </c>
      <c r="N8" t="str">
        <f>IFERROR(INDEX('Hoja 1 - Supabase Transcripts'!$A:$DN,MATCH(A8,'Hoja 1 - Supabase Transcripts'!$A:$A,0),MATCH("gap_segmentation_"&amp;E8,'Hoja 1 - Supabase Transcripts'!$2:$2,0)),"not found")</f>
        <v>not found</v>
      </c>
    </row>
    <row r="9" spans="1:18" ht="409.5" customHeight="1">
      <c r="A9" t="s">
        <v>232</v>
      </c>
      <c r="B9">
        <v>1</v>
      </c>
      <c r="C9" t="s">
        <v>270</v>
      </c>
      <c r="D9" t="s">
        <v>286</v>
      </c>
      <c r="E9" t="s">
        <v>261</v>
      </c>
      <c r="F9" t="s">
        <v>287</v>
      </c>
      <c r="G9" t="s">
        <v>288</v>
      </c>
      <c r="H9">
        <v>0.95</v>
      </c>
      <c r="I9" t="s">
        <v>289</v>
      </c>
      <c r="J9" t="str">
        <f t="shared" si="0"/>
        <v>Normalization of extreme conditions</v>
      </c>
      <c r="K9" t="e">
        <f>_xlfn.XLOOKUP(J9,#REF!,#REF!,"0",0,1)</f>
        <v>#REF!</v>
      </c>
      <c r="N9" t="str">
        <f>IFERROR(INDEX('Hoja 1 - Supabase Transcripts'!$A:$DN,MATCH(A9,'Hoja 1 - Supabase Transcripts'!$A:$A,0),MATCH("gap_segmentation_"&amp;E9,'Hoja 1 - Supabase Transcripts'!$2:$2,0)),"not found")</f>
        <v>not found</v>
      </c>
    </row>
    <row r="10" spans="1:18" ht="409.5" customHeight="1">
      <c r="A10" t="s">
        <v>232</v>
      </c>
      <c r="B10">
        <v>1</v>
      </c>
      <c r="C10" t="s">
        <v>270</v>
      </c>
      <c r="D10" t="s">
        <v>290</v>
      </c>
      <c r="E10" t="s">
        <v>261</v>
      </c>
      <c r="F10" t="s">
        <v>291</v>
      </c>
      <c r="G10" t="s">
        <v>292</v>
      </c>
      <c r="H10">
        <v>0.85</v>
      </c>
      <c r="I10" t="s">
        <v>293</v>
      </c>
      <c r="J10" t="str">
        <f t="shared" si="0"/>
        <v>Protective attribution shifting</v>
      </c>
      <c r="K10" t="e">
        <f>_xlfn.XLOOKUP(J10,#REF!,#REF!,"0",0,1)</f>
        <v>#REF!</v>
      </c>
      <c r="N10" t="str">
        <f>IFERROR(INDEX('Hoja 1 - Supabase Transcripts'!$A:$DN,MATCH(A10,'Hoja 1 - Supabase Transcripts'!$A:$A,0),MATCH("gap_segmentation_"&amp;E10,'Hoja 1 - Supabase Transcripts'!$2:$2,0)),"not found")</f>
        <v>not found</v>
      </c>
    </row>
    <row r="11" spans="1:18" ht="409.5" customHeight="1">
      <c r="A11" t="s">
        <v>232</v>
      </c>
      <c r="B11">
        <v>1</v>
      </c>
      <c r="C11" t="s">
        <v>270</v>
      </c>
      <c r="D11" t="s">
        <v>294</v>
      </c>
      <c r="E11" t="s">
        <v>266</v>
      </c>
      <c r="F11" t="s">
        <v>295</v>
      </c>
      <c r="G11" t="s">
        <v>296</v>
      </c>
      <c r="H11">
        <v>1</v>
      </c>
      <c r="I11" t="s">
        <v>264</v>
      </c>
      <c r="J11" t="str">
        <f t="shared" si="0"/>
        <v>Concern content - FAMILY A</v>
      </c>
      <c r="K11"/>
      <c r="N11" t="str">
        <f>IFERROR(INDEX('Hoja 1 - Supabase Transcripts'!$A:$DN,MATCH(A11,'Hoja 1 - Supabase Transcripts'!$A:$A,0),MATCH("gap_segmentation_"&amp;E11,'Hoja 1 - Supabase Transcripts'!$2:$2,0)),"not found")</f>
        <v>not found</v>
      </c>
    </row>
    <row r="12" spans="1:18" ht="409.5" customHeight="1">
      <c r="A12" t="s">
        <v>232</v>
      </c>
      <c r="B12">
        <v>1</v>
      </c>
      <c r="C12" t="s">
        <v>270</v>
      </c>
      <c r="D12" t="s">
        <v>297</v>
      </c>
      <c r="E12" t="s">
        <v>266</v>
      </c>
      <c r="F12" t="s">
        <v>298</v>
      </c>
      <c r="G12" t="s">
        <v>299</v>
      </c>
      <c r="H12">
        <v>1</v>
      </c>
      <c r="I12" t="s">
        <v>264</v>
      </c>
      <c r="J12" t="str">
        <f t="shared" si="0"/>
        <v>Concern content - FAMILY A</v>
      </c>
      <c r="K12"/>
      <c r="N12" t="str">
        <f>IFERROR(INDEX('Hoja 1 - Supabase Transcripts'!$A:$DN,MATCH(A12,'Hoja 1 - Supabase Transcripts'!$A:$A,0),MATCH("gap_segmentation_"&amp;E12,'Hoja 1 - Supabase Transcripts'!$2:$2,0)),"not found")</f>
        <v>not found</v>
      </c>
    </row>
    <row r="13" spans="1:18" ht="409.5" customHeight="1">
      <c r="A13" t="s">
        <v>186</v>
      </c>
      <c r="B13">
        <v>2</v>
      </c>
      <c r="C13" t="s">
        <v>300</v>
      </c>
      <c r="D13" t="s">
        <v>301</v>
      </c>
      <c r="E13" t="s">
        <v>266</v>
      </c>
      <c r="F13" t="s">
        <v>302</v>
      </c>
      <c r="G13" t="s">
        <v>303</v>
      </c>
      <c r="H13">
        <v>0.85</v>
      </c>
      <c r="I13" t="s">
        <v>264</v>
      </c>
      <c r="J13" t="str">
        <f t="shared" si="0"/>
        <v>Concern content - FAMILY A</v>
      </c>
      <c r="K13"/>
      <c r="N13" t="str">
        <f>IFERROR(INDEX('Hoja 1 - Supabase Transcripts'!$A:$DN,MATCH(A13,'Hoja 1 - Supabase Transcripts'!$A:$A,0),MATCH("gap_segmentation_"&amp;E13,'Hoja 1 - Supabase Transcripts'!$2:$2,0)),"not found")</f>
        <v>not found</v>
      </c>
    </row>
    <row r="14" spans="1:18" ht="409.5" customHeight="1">
      <c r="A14" t="s">
        <v>186</v>
      </c>
      <c r="B14">
        <v>2</v>
      </c>
      <c r="C14" t="s">
        <v>300</v>
      </c>
      <c r="D14" t="s">
        <v>304</v>
      </c>
      <c r="E14" s="16" t="s">
        <v>266</v>
      </c>
      <c r="F14" t="s">
        <v>305</v>
      </c>
      <c r="G14" t="s">
        <v>306</v>
      </c>
      <c r="H14">
        <v>0.9</v>
      </c>
      <c r="I14" t="s">
        <v>289</v>
      </c>
      <c r="J14" t="str">
        <f t="shared" si="0"/>
        <v>Normalization of extreme conditions</v>
      </c>
      <c r="K14" t="e">
        <f>_xlfn.XLOOKUP(J14,#REF!,#REF!,"0",0,1)</f>
        <v>#REF!</v>
      </c>
      <c r="N14" t="str">
        <f>IFERROR(INDEX('Hoja 1 - Supabase Transcripts'!$A:$DN,MATCH(A14,'Hoja 1 - Supabase Transcripts'!$A:$A,0),MATCH("gap_segmentation_"&amp;E14,'Hoja 1 - Supabase Transcripts'!$2:$2,0)),"not found")</f>
        <v>not found</v>
      </c>
    </row>
    <row r="15" spans="1:18" ht="409.5" customHeight="1">
      <c r="A15" t="s">
        <v>186</v>
      </c>
      <c r="B15">
        <v>2</v>
      </c>
      <c r="C15" t="s">
        <v>300</v>
      </c>
      <c r="D15" t="s">
        <v>307</v>
      </c>
      <c r="E15" s="16" t="s">
        <v>266</v>
      </c>
      <c r="F15" t="s">
        <v>308</v>
      </c>
      <c r="G15" t="s">
        <v>309</v>
      </c>
      <c r="H15">
        <v>0.75</v>
      </c>
      <c r="I15" t="s">
        <v>310</v>
      </c>
      <c r="J15" t="str">
        <f t="shared" si="0"/>
        <v>Hedged, qualified disclosure</v>
      </c>
      <c r="K15" t="e">
        <f>_xlfn.XLOOKUP(J15,#REF!,#REF!,"0",0,1)</f>
        <v>#REF!</v>
      </c>
      <c r="N15" t="str">
        <f>IFERROR(INDEX('Hoja 1 - Supabase Transcripts'!$A:$DN,MATCH(A15,'Hoja 1 - Supabase Transcripts'!$A:$A,0),MATCH("gap_segmentation_"&amp;E15,'Hoja 1 - Supabase Transcripts'!$2:$2,0)),"not found")</f>
        <v>not found</v>
      </c>
    </row>
    <row r="16" spans="1:18" ht="409.5" customHeight="1">
      <c r="A16" t="s">
        <v>233</v>
      </c>
      <c r="B16">
        <v>3</v>
      </c>
      <c r="C16" t="s">
        <v>311</v>
      </c>
      <c r="D16" t="s">
        <v>312</v>
      </c>
      <c r="E16" t="s">
        <v>313</v>
      </c>
      <c r="F16" t="s">
        <v>314</v>
      </c>
      <c r="G16" t="s">
        <v>315</v>
      </c>
      <c r="H16">
        <v>0.7</v>
      </c>
      <c r="I16" t="s">
        <v>274</v>
      </c>
      <c r="J16" t="str">
        <f t="shared" si="0"/>
        <v>FAMILY_A_CONCERN_CONTENT</v>
      </c>
      <c r="K16"/>
      <c r="N16" t="str">
        <f>IFERROR(INDEX('Hoja 1 - Supabase Transcripts'!$A:$DN,MATCH(A16,'Hoja 1 - Supabase Transcripts'!$A:$A,0),MATCH("gap_segmentation_"&amp;E16,'Hoja 1 - Supabase Transcripts'!$2:$2,0)),"not found")</f>
        <v>not found</v>
      </c>
    </row>
    <row r="17" spans="1:14" ht="409.5" customHeight="1">
      <c r="A17" t="s">
        <v>233</v>
      </c>
      <c r="B17">
        <v>3</v>
      </c>
      <c r="C17" t="s">
        <v>311</v>
      </c>
      <c r="D17" t="s">
        <v>316</v>
      </c>
      <c r="E17" t="s">
        <v>261</v>
      </c>
      <c r="F17" t="s">
        <v>317</v>
      </c>
      <c r="G17" t="s">
        <v>318</v>
      </c>
      <c r="H17">
        <v>0.85</v>
      </c>
      <c r="I17" t="s">
        <v>264</v>
      </c>
      <c r="J17" t="str">
        <f t="shared" si="0"/>
        <v>Concern content - FAMILY A</v>
      </c>
      <c r="K17"/>
      <c r="N17" t="str">
        <f>IFERROR(INDEX('Hoja 1 - Supabase Transcripts'!$A:$DN,MATCH(A17,'Hoja 1 - Supabase Transcripts'!$A:$A,0),MATCH("gap_segmentation_"&amp;E17,'Hoja 1 - Supabase Transcripts'!$2:$2,0)),"not found")</f>
        <v>not found</v>
      </c>
    </row>
    <row r="18" spans="1:14" ht="409.5" customHeight="1">
      <c r="A18" t="s">
        <v>233</v>
      </c>
      <c r="B18">
        <v>3</v>
      </c>
      <c r="C18" t="s">
        <v>311</v>
      </c>
      <c r="D18" t="s">
        <v>319</v>
      </c>
      <c r="E18" t="s">
        <v>261</v>
      </c>
      <c r="F18" t="s">
        <v>320</v>
      </c>
      <c r="G18" t="s">
        <v>321</v>
      </c>
      <c r="H18">
        <v>0.75</v>
      </c>
      <c r="I18" t="s">
        <v>264</v>
      </c>
      <c r="J18" t="str">
        <f t="shared" si="0"/>
        <v>Concern content - FAMILY A</v>
      </c>
      <c r="K18"/>
      <c r="N18" t="str">
        <f>IFERROR(INDEX('Hoja 1 - Supabase Transcripts'!$A:$DN,MATCH(A18,'Hoja 1 - Supabase Transcripts'!$A:$A,0),MATCH("gap_segmentation_"&amp;E18,'Hoja 1 - Supabase Transcripts'!$2:$2,0)),"not found")</f>
        <v>not found</v>
      </c>
    </row>
    <row r="19" spans="1:14" ht="409.5" customHeight="1">
      <c r="A19" s="16" t="s">
        <v>185</v>
      </c>
      <c r="B19">
        <v>2</v>
      </c>
      <c r="C19" t="s">
        <v>322</v>
      </c>
      <c r="D19" t="s">
        <v>323</v>
      </c>
      <c r="E19" t="s">
        <v>313</v>
      </c>
      <c r="F19" t="s">
        <v>324</v>
      </c>
      <c r="G19" t="s">
        <v>325</v>
      </c>
      <c r="H19">
        <v>0.95</v>
      </c>
      <c r="I19" t="s">
        <v>326</v>
      </c>
      <c r="J19" t="str">
        <f t="shared" si="0"/>
        <v>Hedged, qualified disclosure</v>
      </c>
      <c r="K19" t="e">
        <f>_xlfn.XLOOKUP(J19,#REF!,#REF!,"0",0,1)</f>
        <v>#REF!</v>
      </c>
      <c r="N19" t="str">
        <f>IFERROR(INDEX('Hoja 1 - Supabase Transcripts'!$A:$DN,MATCH(A19,'Hoja 1 - Supabase Transcripts'!$A:$A,0),MATCH("gap_segmentation_"&amp;E19,'Hoja 1 - Supabase Transcripts'!$2:$2,0)),"not found")</f>
        <v>not found</v>
      </c>
    </row>
    <row r="20" spans="1:14" ht="409.5" customHeight="1">
      <c r="A20" t="s">
        <v>185</v>
      </c>
      <c r="B20">
        <v>2</v>
      </c>
      <c r="C20" t="s">
        <v>322</v>
      </c>
      <c r="D20" t="s">
        <v>327</v>
      </c>
      <c r="E20" s="16" t="s">
        <v>256</v>
      </c>
      <c r="F20" t="s">
        <v>328</v>
      </c>
      <c r="G20" t="s">
        <v>329</v>
      </c>
      <c r="H20">
        <v>0.9</v>
      </c>
      <c r="I20" t="s">
        <v>330</v>
      </c>
      <c r="J20" t="str">
        <f t="shared" si="0"/>
        <v>Protective attribution shifting</v>
      </c>
      <c r="K20" t="e">
        <f>_xlfn.XLOOKUP(J20,#REF!,#REF!,"0",0,1)</f>
        <v>#REF!</v>
      </c>
      <c r="N20" t="str">
        <f>IFERROR(INDEX('Hoja 1 - Supabase Transcripts'!$A:$DN,MATCH(A20,'Hoja 1 - Supabase Transcripts'!$A:$A,0),MATCH("gap_segmentation_"&amp;E20,'Hoja 1 - Supabase Transcripts'!$2:$2,0)),"not found")</f>
        <v>not found</v>
      </c>
    </row>
    <row r="21" spans="1:14" ht="409.5" customHeight="1">
      <c r="A21" t="s">
        <v>185</v>
      </c>
      <c r="B21">
        <v>2</v>
      </c>
      <c r="C21" t="s">
        <v>322</v>
      </c>
      <c r="D21" t="s">
        <v>331</v>
      </c>
      <c r="E21" t="s">
        <v>261</v>
      </c>
      <c r="F21" t="s">
        <v>332</v>
      </c>
      <c r="G21" t="s">
        <v>333</v>
      </c>
      <c r="H21">
        <v>0.95</v>
      </c>
      <c r="I21" t="s">
        <v>264</v>
      </c>
      <c r="J21" t="str">
        <f t="shared" si="0"/>
        <v>Concern content - FAMILY A</v>
      </c>
      <c r="K21"/>
      <c r="N21" t="str">
        <f>IFERROR(INDEX('Hoja 1 - Supabase Transcripts'!$A:$DN,MATCH(A21,'Hoja 1 - Supabase Transcripts'!$A:$A,0),MATCH("gap_segmentation_"&amp;E21,'Hoja 1 - Supabase Transcripts'!$2:$2,0)),"not found")</f>
        <v>not found</v>
      </c>
    </row>
    <row r="22" spans="1:14" ht="409.5" customHeight="1">
      <c r="A22" t="s">
        <v>185</v>
      </c>
      <c r="B22">
        <v>2</v>
      </c>
      <c r="C22" t="s">
        <v>322</v>
      </c>
      <c r="D22" t="s">
        <v>334</v>
      </c>
      <c r="E22" t="s">
        <v>261</v>
      </c>
      <c r="F22" t="s">
        <v>335</v>
      </c>
      <c r="G22" t="s">
        <v>336</v>
      </c>
      <c r="H22">
        <v>1</v>
      </c>
      <c r="I22" t="s">
        <v>330</v>
      </c>
      <c r="J22" t="str">
        <f t="shared" si="0"/>
        <v>Protective attribution shifting</v>
      </c>
      <c r="K22" t="e">
        <f>_xlfn.XLOOKUP(J22,#REF!,#REF!,"0",0,1)</f>
        <v>#REF!</v>
      </c>
      <c r="N22" t="str">
        <f>IFERROR(INDEX('Hoja 1 - Supabase Transcripts'!$A:$DN,MATCH(A22,'Hoja 1 - Supabase Transcripts'!$A:$A,0),MATCH("gap_segmentation_"&amp;E22,'Hoja 1 - Supabase Transcripts'!$2:$2,0)),"not found")</f>
        <v>not found</v>
      </c>
    </row>
    <row r="23" spans="1:14" ht="409.5" customHeight="1">
      <c r="A23" t="s">
        <v>185</v>
      </c>
      <c r="B23">
        <v>2</v>
      </c>
      <c r="C23" t="s">
        <v>322</v>
      </c>
      <c r="D23" t="s">
        <v>337</v>
      </c>
      <c r="E23" t="s">
        <v>261</v>
      </c>
      <c r="F23" t="s">
        <v>338</v>
      </c>
      <c r="G23" t="s">
        <v>339</v>
      </c>
      <c r="H23">
        <v>0.95</v>
      </c>
      <c r="I23" t="s">
        <v>264</v>
      </c>
      <c r="J23" t="str">
        <f t="shared" si="0"/>
        <v>Concern content - FAMILY A</v>
      </c>
      <c r="K23"/>
      <c r="N23" t="str">
        <f>IFERROR(INDEX('Hoja 1 - Supabase Transcripts'!$A:$DN,MATCH(A23,'Hoja 1 - Supabase Transcripts'!$A:$A,0),MATCH("gap_segmentation_"&amp;E23,'Hoja 1 - Supabase Transcripts'!$2:$2,0)),"not found")</f>
        <v>not found</v>
      </c>
    </row>
    <row r="24" spans="1:14" ht="409.5" customHeight="1">
      <c r="A24" t="s">
        <v>185</v>
      </c>
      <c r="B24">
        <v>2</v>
      </c>
      <c r="C24" t="s">
        <v>322</v>
      </c>
      <c r="D24" t="s">
        <v>340</v>
      </c>
      <c r="E24" t="s">
        <v>266</v>
      </c>
      <c r="F24" t="s">
        <v>341</v>
      </c>
      <c r="G24" t="s">
        <v>342</v>
      </c>
      <c r="H24">
        <v>0.9</v>
      </c>
      <c r="I24" t="s">
        <v>264</v>
      </c>
      <c r="J24" t="str">
        <f t="shared" si="0"/>
        <v>Concern content - FAMILY A</v>
      </c>
      <c r="K24"/>
      <c r="N24" t="str">
        <f>IFERROR(INDEX('Hoja 1 - Supabase Transcripts'!$A:$DN,MATCH(A24,'Hoja 1 - Supabase Transcripts'!$A:$A,0),MATCH("gap_segmentation_"&amp;E24,'Hoja 1 - Supabase Transcripts'!$2:$2,0)),"not found")</f>
        <v>not found</v>
      </c>
    </row>
    <row r="25" spans="1:14" ht="409.5" customHeight="1">
      <c r="A25" t="s">
        <v>185</v>
      </c>
      <c r="B25">
        <v>2</v>
      </c>
      <c r="C25" t="s">
        <v>322</v>
      </c>
      <c r="D25" t="s">
        <v>343</v>
      </c>
      <c r="E25" t="s">
        <v>266</v>
      </c>
      <c r="F25" t="s">
        <v>344</v>
      </c>
      <c r="G25" t="s">
        <v>345</v>
      </c>
      <c r="H25">
        <v>0.85</v>
      </c>
      <c r="I25" t="s">
        <v>274</v>
      </c>
      <c r="J25" t="str">
        <f t="shared" si="0"/>
        <v>FAMILY_A_CONCERN_CONTENT</v>
      </c>
      <c r="K25"/>
      <c r="N25" t="str">
        <f>IFERROR(INDEX('Hoja 1 - Supabase Transcripts'!$A:$DN,MATCH(A25,'Hoja 1 - Supabase Transcripts'!$A:$A,0),MATCH("gap_segmentation_"&amp;E25,'Hoja 1 - Supabase Transcripts'!$2:$2,0)),"not found")</f>
        <v>not found</v>
      </c>
    </row>
    <row r="26" spans="1:14" ht="266" customHeight="1">
      <c r="A26" t="s">
        <v>222</v>
      </c>
      <c r="B26">
        <v>4</v>
      </c>
      <c r="C26" t="s">
        <v>346</v>
      </c>
      <c r="D26" t="s">
        <v>347</v>
      </c>
      <c r="E26" t="s">
        <v>313</v>
      </c>
      <c r="F26" t="s">
        <v>348</v>
      </c>
      <c r="G26" t="s">
        <v>349</v>
      </c>
      <c r="H26">
        <v>0.75</v>
      </c>
      <c r="I26" t="s">
        <v>274</v>
      </c>
      <c r="J26" t="str">
        <f t="shared" si="0"/>
        <v>FAMILY_A_CONCERN_CONTENT</v>
      </c>
      <c r="K26"/>
      <c r="N26" t="str">
        <f>IFERROR(INDEX('Hoja 1 - Supabase Transcripts'!$A:$DN,MATCH(A26,'Hoja 1 - Supabase Transcripts'!$A:$A,0),MATCH("gap_segmentation_"&amp;E26,'Hoja 1 - Supabase Transcripts'!$2:$2,0)),"not found")</f>
        <v>not found</v>
      </c>
    </row>
    <row r="27" spans="1:14" ht="252" customHeight="1">
      <c r="A27" t="s">
        <v>180</v>
      </c>
      <c r="B27">
        <v>2</v>
      </c>
      <c r="C27" t="s">
        <v>350</v>
      </c>
      <c r="D27" t="s">
        <v>351</v>
      </c>
      <c r="E27" s="16" t="s">
        <v>256</v>
      </c>
      <c r="F27" t="s">
        <v>352</v>
      </c>
      <c r="G27" t="s">
        <v>353</v>
      </c>
      <c r="H27">
        <v>0.75</v>
      </c>
      <c r="I27" t="s">
        <v>354</v>
      </c>
      <c r="J27" t="str">
        <f t="shared" si="0"/>
        <v>Compensatory reframing</v>
      </c>
      <c r="K27" t="e">
        <f>_xlfn.XLOOKUP(J27,#REF!,#REF!,"0",0,1)</f>
        <v>#REF!</v>
      </c>
      <c r="N27" t="str">
        <f>IFERROR(INDEX('Hoja 1 - Supabase Transcripts'!$A:$DN,MATCH(A27,'Hoja 1 - Supabase Transcripts'!$A:$A,0),MATCH("gap_segmentation_"&amp;E27,'Hoja 1 - Supabase Transcripts'!$2:$2,0)),"not found")</f>
        <v>not found</v>
      </c>
    </row>
    <row r="28" spans="1:14" ht="409.5" customHeight="1">
      <c r="A28" t="s">
        <v>173</v>
      </c>
      <c r="B28">
        <v>1</v>
      </c>
      <c r="C28" t="s">
        <v>355</v>
      </c>
      <c r="D28" t="s">
        <v>356</v>
      </c>
      <c r="E28" t="s">
        <v>313</v>
      </c>
      <c r="F28" t="s">
        <v>357</v>
      </c>
      <c r="G28" t="s">
        <v>358</v>
      </c>
      <c r="H28">
        <v>0.95</v>
      </c>
      <c r="I28" t="s">
        <v>293</v>
      </c>
      <c r="J28" t="str">
        <f t="shared" si="0"/>
        <v>Protective attribution shifting</v>
      </c>
      <c r="K28" t="e">
        <f>_xlfn.XLOOKUP(J28,#REF!,#REF!,"0",0,1)</f>
        <v>#REF!</v>
      </c>
      <c r="N28" t="str">
        <f>IFERROR(INDEX('Hoja 1 - Supabase Transcripts'!$A:$DN,MATCH(A28,'Hoja 1 - Supabase Transcripts'!$A:$A,0),MATCH("gap_segmentation_"&amp;E28,'Hoja 1 - Supabase Transcripts'!$2:$2,0)),"not found")</f>
        <v>not found</v>
      </c>
    </row>
    <row r="29" spans="1:14" ht="409.5" customHeight="1">
      <c r="A29" t="s">
        <v>173</v>
      </c>
      <c r="B29">
        <v>1</v>
      </c>
      <c r="C29" t="s">
        <v>355</v>
      </c>
      <c r="D29" t="s">
        <v>359</v>
      </c>
      <c r="E29" s="16" t="s">
        <v>256</v>
      </c>
      <c r="F29" t="s">
        <v>360</v>
      </c>
      <c r="G29" t="s">
        <v>361</v>
      </c>
      <c r="H29">
        <v>0.85</v>
      </c>
      <c r="I29" t="s">
        <v>259</v>
      </c>
      <c r="J29" t="str">
        <f t="shared" si="0"/>
        <v>Rationalizing leadership absence</v>
      </c>
      <c r="K29" t="e">
        <f>_xlfn.XLOOKUP(J29,#REF!,#REF!,"0",0,1)</f>
        <v>#REF!</v>
      </c>
      <c r="N29" t="str">
        <f>IFERROR(INDEX('Hoja 1 - Supabase Transcripts'!$A:$DN,MATCH(A29,'Hoja 1 - Supabase Transcripts'!$A:$A,0),MATCH("gap_segmentation_"&amp;E29,'Hoja 1 - Supabase Transcripts'!$2:$2,0)),"not found")</f>
        <v>not found</v>
      </c>
    </row>
    <row r="30" spans="1:14" ht="409.5" customHeight="1">
      <c r="A30" t="s">
        <v>173</v>
      </c>
      <c r="B30">
        <v>1</v>
      </c>
      <c r="C30" t="s">
        <v>355</v>
      </c>
      <c r="D30" t="s">
        <v>362</v>
      </c>
      <c r="E30" t="s">
        <v>261</v>
      </c>
      <c r="F30" t="s">
        <v>363</v>
      </c>
      <c r="G30" t="s">
        <v>364</v>
      </c>
      <c r="H30">
        <v>0.75</v>
      </c>
      <c r="I30" t="s">
        <v>264</v>
      </c>
      <c r="J30" t="str">
        <f t="shared" si="0"/>
        <v>Concern content - FAMILY A</v>
      </c>
      <c r="K30"/>
      <c r="N30" t="str">
        <f>IFERROR(INDEX('Hoja 1 - Supabase Transcripts'!$A:$DN,MATCH(A30,'Hoja 1 - Supabase Transcripts'!$A:$A,0),MATCH("gap_segmentation_"&amp;E30,'Hoja 1 - Supabase Transcripts'!$2:$2,0)),"not found")</f>
        <v>not found</v>
      </c>
    </row>
    <row r="31" spans="1:14" ht="409.5" customHeight="1">
      <c r="A31" t="s">
        <v>173</v>
      </c>
      <c r="B31">
        <v>1</v>
      </c>
      <c r="C31" t="s">
        <v>355</v>
      </c>
      <c r="D31" t="s">
        <v>365</v>
      </c>
      <c r="E31" s="16" t="s">
        <v>266</v>
      </c>
      <c r="F31" t="s">
        <v>366</v>
      </c>
      <c r="G31" t="s">
        <v>367</v>
      </c>
      <c r="H31">
        <v>0.8</v>
      </c>
      <c r="I31" t="s">
        <v>293</v>
      </c>
      <c r="J31" t="str">
        <f t="shared" si="0"/>
        <v>Protective attribution shifting</v>
      </c>
      <c r="K31" t="e">
        <f>_xlfn.XLOOKUP(J31,#REF!,#REF!,"0",0,1)</f>
        <v>#REF!</v>
      </c>
      <c r="N31" t="str">
        <f>IFERROR(INDEX('Hoja 1 - Supabase Transcripts'!$A:$DN,MATCH(A31,'Hoja 1 - Supabase Transcripts'!$A:$A,0),MATCH("gap_segmentation_"&amp;E31,'Hoja 1 - Supabase Transcripts'!$2:$2,0)),"not found")</f>
        <v>not found</v>
      </c>
    </row>
    <row r="32" spans="1:14" ht="409.5" customHeight="1">
      <c r="A32" t="s">
        <v>173</v>
      </c>
      <c r="B32">
        <v>1</v>
      </c>
      <c r="C32" t="s">
        <v>355</v>
      </c>
      <c r="D32" t="s">
        <v>368</v>
      </c>
      <c r="E32" s="16" t="s">
        <v>266</v>
      </c>
      <c r="F32" t="s">
        <v>369</v>
      </c>
      <c r="G32" t="s">
        <v>370</v>
      </c>
      <c r="H32">
        <v>0.7</v>
      </c>
      <c r="I32" t="s">
        <v>310</v>
      </c>
      <c r="J32" t="str">
        <f t="shared" si="0"/>
        <v>Hedged, qualified disclosure</v>
      </c>
      <c r="K32" t="e">
        <f>_xlfn.XLOOKUP(J32,#REF!,#REF!,"0",0,1)</f>
        <v>#REF!</v>
      </c>
      <c r="N32" t="str">
        <f>IFERROR(INDEX('Hoja 1 - Supabase Transcripts'!$A:$DN,MATCH(A32,'Hoja 1 - Supabase Transcripts'!$A:$A,0),MATCH("gap_segmentation_"&amp;E32,'Hoja 1 - Supabase Transcripts'!$2:$2,0)),"not found")</f>
        <v>not found</v>
      </c>
    </row>
    <row r="33" spans="1:14" ht="409.5" customHeight="1">
      <c r="A33" t="s">
        <v>183</v>
      </c>
      <c r="B33">
        <v>2</v>
      </c>
      <c r="C33" t="s">
        <v>371</v>
      </c>
      <c r="D33" t="s">
        <v>372</v>
      </c>
      <c r="E33" t="s">
        <v>256</v>
      </c>
      <c r="F33" t="s">
        <v>373</v>
      </c>
      <c r="G33" t="s">
        <v>374</v>
      </c>
      <c r="H33">
        <v>0.9</v>
      </c>
      <c r="I33" t="s">
        <v>264</v>
      </c>
      <c r="J33" t="str">
        <f t="shared" si="0"/>
        <v>Concern content - FAMILY A</v>
      </c>
      <c r="K33"/>
      <c r="N33" t="str">
        <f>IFERROR(INDEX('Hoja 1 - Supabase Transcripts'!$A:$DN,MATCH(A33,'Hoja 1 - Supabase Transcripts'!$A:$A,0),MATCH("gap_segmentation_"&amp;E33,'Hoja 1 - Supabase Transcripts'!$2:$2,0)),"not found")</f>
        <v>not found</v>
      </c>
    </row>
    <row r="34" spans="1:14" ht="409.5" customHeight="1">
      <c r="A34" t="s">
        <v>183</v>
      </c>
      <c r="B34">
        <v>2</v>
      </c>
      <c r="C34" t="s">
        <v>371</v>
      </c>
      <c r="D34" t="s">
        <v>375</v>
      </c>
      <c r="E34" t="s">
        <v>261</v>
      </c>
      <c r="F34" t="s">
        <v>376</v>
      </c>
      <c r="G34" t="s">
        <v>377</v>
      </c>
      <c r="H34">
        <v>0.85</v>
      </c>
      <c r="I34" t="s">
        <v>264</v>
      </c>
      <c r="J34" t="str">
        <f t="shared" si="0"/>
        <v>Concern content - FAMILY A</v>
      </c>
      <c r="K34"/>
      <c r="N34" t="str">
        <f>IFERROR(INDEX('Hoja 1 - Supabase Transcripts'!$A:$DN,MATCH(A34,'Hoja 1 - Supabase Transcripts'!$A:$A,0),MATCH("gap_segmentation_"&amp;E34,'Hoja 1 - Supabase Transcripts'!$2:$2,0)),"not found")</f>
        <v>not found</v>
      </c>
    </row>
    <row r="35" spans="1:14" ht="409.5" customHeight="1">
      <c r="A35" t="s">
        <v>215</v>
      </c>
      <c r="B35">
        <v>2</v>
      </c>
      <c r="C35" t="s">
        <v>378</v>
      </c>
      <c r="D35" t="s">
        <v>379</v>
      </c>
      <c r="E35" t="s">
        <v>261</v>
      </c>
      <c r="F35" t="s">
        <v>380</v>
      </c>
      <c r="G35" t="s">
        <v>381</v>
      </c>
      <c r="H35">
        <v>0.95</v>
      </c>
      <c r="I35" t="s">
        <v>274</v>
      </c>
      <c r="J35" t="str">
        <f t="shared" si="0"/>
        <v>FAMILY_A_CONCERN_CONTENT</v>
      </c>
      <c r="K35"/>
      <c r="N35" t="str">
        <f>IFERROR(INDEX('Hoja 1 - Supabase Transcripts'!$A:$DN,MATCH(A35,'Hoja 1 - Supabase Transcripts'!$A:$A,0),MATCH("gap_segmentation_"&amp;E35,'Hoja 1 - Supabase Transcripts'!$2:$2,0)),"not found")</f>
        <v>not found</v>
      </c>
    </row>
    <row r="36" spans="1:14" ht="409.5" customHeight="1">
      <c r="A36" t="s">
        <v>215</v>
      </c>
      <c r="B36">
        <v>2</v>
      </c>
      <c r="C36" t="s">
        <v>378</v>
      </c>
      <c r="D36" t="s">
        <v>382</v>
      </c>
      <c r="E36" t="s">
        <v>266</v>
      </c>
      <c r="F36" t="s">
        <v>383</v>
      </c>
      <c r="G36" t="s">
        <v>384</v>
      </c>
      <c r="H36">
        <v>0.9</v>
      </c>
      <c r="I36" t="s">
        <v>264</v>
      </c>
      <c r="J36" t="str">
        <f t="shared" si="0"/>
        <v>Concern content - FAMILY A</v>
      </c>
      <c r="K36"/>
      <c r="N36" t="str">
        <f>IFERROR(INDEX('Hoja 1 - Supabase Transcripts'!$A:$DN,MATCH(A36,'Hoja 1 - Supabase Transcripts'!$A:$A,0),MATCH("gap_segmentation_"&amp;E36,'Hoja 1 - Supabase Transcripts'!$2:$2,0)),"not found")</f>
        <v>not found</v>
      </c>
    </row>
    <row r="37" spans="1:14" ht="409.5" customHeight="1">
      <c r="A37" t="s">
        <v>215</v>
      </c>
      <c r="B37">
        <v>2</v>
      </c>
      <c r="C37" t="s">
        <v>378</v>
      </c>
      <c r="D37" t="s">
        <v>385</v>
      </c>
      <c r="E37" t="s">
        <v>266</v>
      </c>
      <c r="F37" t="s">
        <v>386</v>
      </c>
      <c r="G37" t="s">
        <v>387</v>
      </c>
      <c r="H37">
        <v>0.85</v>
      </c>
      <c r="I37" t="s">
        <v>264</v>
      </c>
      <c r="J37" t="str">
        <f t="shared" si="0"/>
        <v>Concern content - FAMILY A</v>
      </c>
      <c r="K37"/>
      <c r="N37" t="str">
        <f>IFERROR(INDEX('Hoja 1 - Supabase Transcripts'!$A:$DN,MATCH(A37,'Hoja 1 - Supabase Transcripts'!$A:$A,0),MATCH("gap_segmentation_"&amp;E37,'Hoja 1 - Supabase Transcripts'!$2:$2,0)),"not found")</f>
        <v>not found</v>
      </c>
    </row>
    <row r="38" spans="1:14" ht="409.5" customHeight="1">
      <c r="A38" t="s">
        <v>215</v>
      </c>
      <c r="B38">
        <v>2</v>
      </c>
      <c r="C38" t="s">
        <v>378</v>
      </c>
      <c r="D38" t="s">
        <v>388</v>
      </c>
      <c r="E38" s="16" t="s">
        <v>266</v>
      </c>
      <c r="F38" t="s">
        <v>389</v>
      </c>
      <c r="G38" t="s">
        <v>390</v>
      </c>
      <c r="H38">
        <v>0.8</v>
      </c>
      <c r="I38" t="s">
        <v>391</v>
      </c>
      <c r="J38" t="str">
        <f t="shared" si="0"/>
        <v>Withholding under probing</v>
      </c>
      <c r="K38" t="e">
        <f>_xlfn.XLOOKUP(J38,#REF!,#REF!,"0",0,1)</f>
        <v>#REF!</v>
      </c>
      <c r="N38" t="str">
        <f>IFERROR(INDEX('Hoja 1 - Supabase Transcripts'!$A:$DN,MATCH(A38,'Hoja 1 - Supabase Transcripts'!$A:$A,0),MATCH("gap_segmentation_"&amp;E38,'Hoja 1 - Supabase Transcripts'!$2:$2,0)),"not found")</f>
        <v>not found</v>
      </c>
    </row>
    <row r="39" spans="1:14" ht="409.5" customHeight="1">
      <c r="A39" t="s">
        <v>215</v>
      </c>
      <c r="B39">
        <v>2</v>
      </c>
      <c r="C39" t="s">
        <v>378</v>
      </c>
      <c r="D39" t="s">
        <v>392</v>
      </c>
      <c r="E39" s="16" t="s">
        <v>266</v>
      </c>
      <c r="F39" t="s">
        <v>393</v>
      </c>
      <c r="G39" t="s">
        <v>394</v>
      </c>
      <c r="H39">
        <v>0.9</v>
      </c>
      <c r="I39" t="s">
        <v>330</v>
      </c>
      <c r="J39" t="str">
        <f t="shared" si="0"/>
        <v>Protective attribution shifting</v>
      </c>
      <c r="K39" t="e">
        <f>_xlfn.XLOOKUP(J39,#REF!,#REF!,"0",0,1)</f>
        <v>#REF!</v>
      </c>
      <c r="N39" t="str">
        <f>IFERROR(INDEX('Hoja 1 - Supabase Transcripts'!$A:$DN,MATCH(A39,'Hoja 1 - Supabase Transcripts'!$A:$A,0),MATCH("gap_segmentation_"&amp;E39,'Hoja 1 - Supabase Transcripts'!$2:$2,0)),"not found")</f>
        <v>not found</v>
      </c>
    </row>
    <row r="40" spans="1:14" ht="409.5" customHeight="1">
      <c r="A40" t="s">
        <v>215</v>
      </c>
      <c r="B40">
        <v>2</v>
      </c>
      <c r="C40" t="s">
        <v>378</v>
      </c>
      <c r="D40" t="s">
        <v>395</v>
      </c>
      <c r="E40" s="16" t="s">
        <v>266</v>
      </c>
      <c r="F40" t="s">
        <v>396</v>
      </c>
      <c r="G40" t="s">
        <v>397</v>
      </c>
      <c r="H40">
        <v>0.95</v>
      </c>
      <c r="I40" t="s">
        <v>310</v>
      </c>
      <c r="J40" t="str">
        <f t="shared" si="0"/>
        <v>Hedged, qualified disclosure</v>
      </c>
      <c r="K40" t="e">
        <f>_xlfn.XLOOKUP(J40,#REF!,#REF!,"0",0,1)</f>
        <v>#REF!</v>
      </c>
      <c r="N40" t="str">
        <f>IFERROR(INDEX('Hoja 1 - Supabase Transcripts'!$A:$DN,MATCH(A40,'Hoja 1 - Supabase Transcripts'!$A:$A,0),MATCH("gap_segmentation_"&amp;E40,'Hoja 1 - Supabase Transcripts'!$2:$2,0)),"not found")</f>
        <v>not found</v>
      </c>
    </row>
    <row r="41" spans="1:14" ht="409.5" customHeight="1">
      <c r="A41" t="s">
        <v>189</v>
      </c>
      <c r="B41">
        <v>2</v>
      </c>
      <c r="C41" t="s">
        <v>398</v>
      </c>
      <c r="D41" t="s">
        <v>399</v>
      </c>
      <c r="E41" t="s">
        <v>313</v>
      </c>
      <c r="F41" t="s">
        <v>400</v>
      </c>
      <c r="G41" t="s">
        <v>401</v>
      </c>
      <c r="H41">
        <v>0.9</v>
      </c>
      <c r="I41" t="s">
        <v>264</v>
      </c>
      <c r="J41" t="str">
        <f t="shared" si="0"/>
        <v>Concern content - FAMILY A</v>
      </c>
      <c r="K41"/>
      <c r="N41" t="str">
        <f>IFERROR(INDEX('Hoja 1 - Supabase Transcripts'!$A:$DN,MATCH(A41,'Hoja 1 - Supabase Transcripts'!$A:$A,0),MATCH("gap_segmentation_"&amp;E41,'Hoja 1 - Supabase Transcripts'!$2:$2,0)),"not found")</f>
        <v>not found</v>
      </c>
    </row>
    <row r="42" spans="1:14" ht="409.5" customHeight="1">
      <c r="A42" t="s">
        <v>189</v>
      </c>
      <c r="B42">
        <v>2</v>
      </c>
      <c r="C42" t="s">
        <v>398</v>
      </c>
      <c r="D42" t="s">
        <v>402</v>
      </c>
      <c r="E42" t="s">
        <v>256</v>
      </c>
      <c r="F42" t="s">
        <v>403</v>
      </c>
      <c r="G42" t="s">
        <v>404</v>
      </c>
      <c r="H42">
        <v>0.9</v>
      </c>
      <c r="I42" t="s">
        <v>264</v>
      </c>
      <c r="J42" t="str">
        <f t="shared" si="0"/>
        <v>Concern content - FAMILY A</v>
      </c>
      <c r="K42"/>
      <c r="N42" t="str">
        <f>IFERROR(INDEX('Hoja 1 - Supabase Transcripts'!$A:$DN,MATCH(A42,'Hoja 1 - Supabase Transcripts'!$A:$A,0),MATCH("gap_segmentation_"&amp;E42,'Hoja 1 - Supabase Transcripts'!$2:$2,0)),"not found")</f>
        <v>not found</v>
      </c>
    </row>
    <row r="43" spans="1:14" ht="409.5" customHeight="1">
      <c r="A43" t="s">
        <v>189</v>
      </c>
      <c r="B43">
        <v>2</v>
      </c>
      <c r="C43" t="s">
        <v>398</v>
      </c>
      <c r="D43" t="s">
        <v>405</v>
      </c>
      <c r="E43" t="s">
        <v>256</v>
      </c>
      <c r="F43" t="s">
        <v>406</v>
      </c>
      <c r="G43" t="s">
        <v>407</v>
      </c>
      <c r="H43">
        <v>0.85</v>
      </c>
      <c r="I43" t="s">
        <v>264</v>
      </c>
      <c r="J43" t="str">
        <f t="shared" si="0"/>
        <v>Concern content - FAMILY A</v>
      </c>
      <c r="K43"/>
      <c r="N43" t="str">
        <f>IFERROR(INDEX('Hoja 1 - Supabase Transcripts'!$A:$DN,MATCH(A43,'Hoja 1 - Supabase Transcripts'!$A:$A,0),MATCH("gap_segmentation_"&amp;E43,'Hoja 1 - Supabase Transcripts'!$2:$2,0)),"not found")</f>
        <v>not found</v>
      </c>
    </row>
    <row r="44" spans="1:14" ht="409.5" customHeight="1">
      <c r="A44" t="s">
        <v>210</v>
      </c>
      <c r="B44">
        <v>1</v>
      </c>
      <c r="C44" t="s">
        <v>408</v>
      </c>
      <c r="D44" t="s">
        <v>409</v>
      </c>
      <c r="E44" t="s">
        <v>261</v>
      </c>
      <c r="F44" t="s">
        <v>410</v>
      </c>
      <c r="G44" t="s">
        <v>411</v>
      </c>
      <c r="H44">
        <v>0.95</v>
      </c>
      <c r="I44" t="s">
        <v>264</v>
      </c>
      <c r="J44" t="str">
        <f t="shared" si="0"/>
        <v>Concern content - FAMILY A</v>
      </c>
      <c r="K44"/>
      <c r="N44" t="str">
        <f>IFERROR(INDEX('Hoja 1 - Supabase Transcripts'!$A:$DN,MATCH(A44,'Hoja 1 - Supabase Transcripts'!$A:$A,0),MATCH("gap_segmentation_"&amp;E44,'Hoja 1 - Supabase Transcripts'!$2:$2,0)),"not found")</f>
        <v>not found</v>
      </c>
    </row>
    <row r="45" spans="1:14" ht="409.5" customHeight="1">
      <c r="A45" t="s">
        <v>210</v>
      </c>
      <c r="B45">
        <v>1</v>
      </c>
      <c r="C45" t="s">
        <v>408</v>
      </c>
      <c r="D45" t="s">
        <v>412</v>
      </c>
      <c r="E45" s="16" t="s">
        <v>266</v>
      </c>
      <c r="F45" t="s">
        <v>413</v>
      </c>
      <c r="G45" t="s">
        <v>414</v>
      </c>
      <c r="H45">
        <v>0.85</v>
      </c>
      <c r="I45" t="s">
        <v>415</v>
      </c>
      <c r="J45" t="str">
        <f t="shared" si="0"/>
        <v>Withholding under probing</v>
      </c>
      <c r="K45" t="e">
        <f>_xlfn.XLOOKUP(J45,#REF!,#REF!,"0",0,1)</f>
        <v>#REF!</v>
      </c>
      <c r="N45" t="str">
        <f>IFERROR(INDEX('Hoja 1 - Supabase Transcripts'!$A:$DN,MATCH(A45,'Hoja 1 - Supabase Transcripts'!$A:$A,0),MATCH("gap_segmentation_"&amp;E45,'Hoja 1 - Supabase Transcripts'!$2:$2,0)),"not found")</f>
        <v>not found</v>
      </c>
    </row>
    <row r="46" spans="1:14" ht="409.5" customHeight="1">
      <c r="A46" t="s">
        <v>210</v>
      </c>
      <c r="B46">
        <v>1</v>
      </c>
      <c r="C46" t="s">
        <v>408</v>
      </c>
      <c r="D46" t="s">
        <v>416</v>
      </c>
      <c r="E46" t="s">
        <v>266</v>
      </c>
      <c r="F46" t="s">
        <v>417</v>
      </c>
      <c r="G46" t="s">
        <v>418</v>
      </c>
      <c r="H46">
        <v>0.98</v>
      </c>
      <c r="I46" t="s">
        <v>264</v>
      </c>
      <c r="J46" t="str">
        <f t="shared" si="0"/>
        <v>Concern content - FAMILY A</v>
      </c>
      <c r="K46"/>
      <c r="N46" t="str">
        <f>IFERROR(INDEX('Hoja 1 - Supabase Transcripts'!$A:$DN,MATCH(A46,'Hoja 1 - Supabase Transcripts'!$A:$A,0),MATCH("gap_segmentation_"&amp;E46,'Hoja 1 - Supabase Transcripts'!$2:$2,0)),"not found")</f>
        <v>not found</v>
      </c>
    </row>
    <row r="47" spans="1:14" ht="210" customHeight="1">
      <c r="A47" t="s">
        <v>162</v>
      </c>
      <c r="B47">
        <v>1</v>
      </c>
      <c r="C47" t="s">
        <v>419</v>
      </c>
      <c r="D47" t="s">
        <v>420</v>
      </c>
      <c r="E47" t="s">
        <v>266</v>
      </c>
      <c r="F47" t="s">
        <v>421</v>
      </c>
      <c r="G47" t="s">
        <v>422</v>
      </c>
      <c r="H47">
        <v>0.85</v>
      </c>
      <c r="I47" t="s">
        <v>264</v>
      </c>
      <c r="J47" t="str">
        <f t="shared" si="0"/>
        <v>Concern content - FAMILY A</v>
      </c>
      <c r="K47"/>
      <c r="N47" t="str">
        <f>IFERROR(INDEX('Hoja 1 - Supabase Transcripts'!$A:$DN,MATCH(A47,'Hoja 1 - Supabase Transcripts'!$A:$A,0),MATCH("gap_segmentation_"&amp;E47,'Hoja 1 - Supabase Transcripts'!$2:$2,0)),"not found")</f>
        <v>not found</v>
      </c>
    </row>
    <row r="48" spans="1:14" ht="238" customHeight="1">
      <c r="A48" t="s">
        <v>198</v>
      </c>
      <c r="B48">
        <v>1</v>
      </c>
      <c r="C48" t="s">
        <v>423</v>
      </c>
      <c r="D48" t="s">
        <v>424</v>
      </c>
      <c r="E48" s="16" t="s">
        <v>256</v>
      </c>
      <c r="F48" t="s">
        <v>425</v>
      </c>
      <c r="G48" t="s">
        <v>426</v>
      </c>
      <c r="H48">
        <v>0.75</v>
      </c>
      <c r="I48" t="s">
        <v>281</v>
      </c>
      <c r="J48" t="str">
        <f t="shared" si="0"/>
        <v>Aspirational framing of unmet needs</v>
      </c>
      <c r="K48" t="e">
        <f>_xlfn.XLOOKUP(J48,#REF!,#REF!,"0",0,1)</f>
        <v>#REF!</v>
      </c>
      <c r="N48" t="str">
        <f>IFERROR(INDEX('Hoja 1 - Supabase Transcripts'!$A:$DN,MATCH(A48,'Hoja 1 - Supabase Transcripts'!$A:$A,0),MATCH("gap_segmentation_"&amp;E48,'Hoja 1 - Supabase Transcripts'!$2:$2,0)),"not found")</f>
        <v>not found</v>
      </c>
    </row>
    <row r="49" spans="1:14" ht="409.5" customHeight="1">
      <c r="A49" t="s">
        <v>221</v>
      </c>
      <c r="B49">
        <v>3</v>
      </c>
      <c r="C49" t="s">
        <v>427</v>
      </c>
      <c r="D49" t="s">
        <v>428</v>
      </c>
      <c r="E49" t="s">
        <v>429</v>
      </c>
      <c r="F49" t="s">
        <v>430</v>
      </c>
      <c r="G49" t="s">
        <v>431</v>
      </c>
      <c r="H49">
        <v>0.78</v>
      </c>
      <c r="I49" t="s">
        <v>415</v>
      </c>
      <c r="J49" t="str">
        <f t="shared" si="0"/>
        <v>Withholding under probing</v>
      </c>
      <c r="K49" t="e">
        <f>_xlfn.XLOOKUP(J49,#REF!,#REF!,"0",0,1)</f>
        <v>#REF!</v>
      </c>
      <c r="N49" t="str">
        <f>IFERROR(INDEX('Hoja 1 - Supabase Transcripts'!$A:$DN,MATCH(A49,'Hoja 1 - Supabase Transcripts'!$A:$A,0),MATCH("gap_segmentation_"&amp;E49,'Hoja 1 - Supabase Transcripts'!$2:$2,0)),"not found")</f>
        <v>not found</v>
      </c>
    </row>
    <row r="50" spans="1:14" ht="409.5" customHeight="1">
      <c r="A50" t="s">
        <v>221</v>
      </c>
      <c r="B50">
        <v>3</v>
      </c>
      <c r="C50" t="s">
        <v>427</v>
      </c>
      <c r="D50" t="s">
        <v>432</v>
      </c>
      <c r="E50" s="16" t="s">
        <v>256</v>
      </c>
      <c r="F50" t="s">
        <v>433</v>
      </c>
      <c r="G50" t="s">
        <v>434</v>
      </c>
      <c r="H50">
        <v>0.75</v>
      </c>
      <c r="I50" t="s">
        <v>435</v>
      </c>
      <c r="J50" t="str">
        <f t="shared" si="0"/>
        <v>Disclaiming assessment capacity</v>
      </c>
      <c r="K50" t="e">
        <f>_xlfn.XLOOKUP(J50,#REF!,#REF!,"0",0,1)</f>
        <v>#REF!</v>
      </c>
      <c r="N50" t="str">
        <f>IFERROR(INDEX('Hoja 1 - Supabase Transcripts'!$A:$DN,MATCH(A50,'Hoja 1 - Supabase Transcripts'!$A:$A,0),MATCH("gap_segmentation_"&amp;E50,'Hoja 1 - Supabase Transcripts'!$2:$2,0)),"not found")</f>
        <v>not found</v>
      </c>
    </row>
    <row r="51" spans="1:14" ht="409.5" customHeight="1">
      <c r="A51" t="s">
        <v>221</v>
      </c>
      <c r="B51">
        <v>3</v>
      </c>
      <c r="C51" t="s">
        <v>427</v>
      </c>
      <c r="D51" t="s">
        <v>436</v>
      </c>
      <c r="E51" s="16" t="s">
        <v>256</v>
      </c>
      <c r="F51" t="s">
        <v>437</v>
      </c>
      <c r="G51" t="s">
        <v>438</v>
      </c>
      <c r="H51">
        <v>0.8</v>
      </c>
      <c r="I51" t="s">
        <v>415</v>
      </c>
      <c r="J51" t="str">
        <f t="shared" si="0"/>
        <v>Withholding under probing</v>
      </c>
      <c r="K51" t="e">
        <f>_xlfn.XLOOKUP(J51,#REF!,#REF!,"0",0,1)</f>
        <v>#REF!</v>
      </c>
      <c r="N51" t="str">
        <f>IFERROR(INDEX('Hoja 1 - Supabase Transcripts'!$A:$DN,MATCH(A51,'Hoja 1 - Supabase Transcripts'!$A:$A,0),MATCH("gap_segmentation_"&amp;E51,'Hoja 1 - Supabase Transcripts'!$2:$2,0)),"not found")</f>
        <v>not found</v>
      </c>
    </row>
    <row r="52" spans="1:14" ht="409.5" customHeight="1">
      <c r="A52" t="s">
        <v>221</v>
      </c>
      <c r="B52">
        <v>3</v>
      </c>
      <c r="C52" t="s">
        <v>427</v>
      </c>
      <c r="D52" t="s">
        <v>439</v>
      </c>
      <c r="E52" s="16" t="s">
        <v>266</v>
      </c>
      <c r="F52" t="s">
        <v>440</v>
      </c>
      <c r="G52" t="s">
        <v>441</v>
      </c>
      <c r="H52">
        <v>0.85</v>
      </c>
      <c r="I52" t="s">
        <v>289</v>
      </c>
      <c r="J52" t="str">
        <f t="shared" si="0"/>
        <v>Normalization of extreme conditions</v>
      </c>
      <c r="K52" t="e">
        <f>_xlfn.XLOOKUP(J52,#REF!,#REF!,"0",0,1)</f>
        <v>#REF!</v>
      </c>
      <c r="N52" t="str">
        <f>IFERROR(INDEX('Hoja 1 - Supabase Transcripts'!$A:$DN,MATCH(A52,'Hoja 1 - Supabase Transcripts'!$A:$A,0),MATCH("gap_segmentation_"&amp;E52,'Hoja 1 - Supabase Transcripts'!$2:$2,0)),"not found")</f>
        <v>not found</v>
      </c>
    </row>
    <row r="53" spans="1:14" ht="409.5" customHeight="1">
      <c r="A53" t="s">
        <v>165</v>
      </c>
      <c r="B53">
        <v>1</v>
      </c>
      <c r="C53" t="s">
        <v>442</v>
      </c>
      <c r="D53" t="s">
        <v>443</v>
      </c>
      <c r="E53" s="16" t="s">
        <v>256</v>
      </c>
      <c r="F53" t="s">
        <v>444</v>
      </c>
      <c r="G53" t="s">
        <v>445</v>
      </c>
      <c r="H53">
        <v>0.75</v>
      </c>
      <c r="I53" t="s">
        <v>415</v>
      </c>
      <c r="J53" t="str">
        <f t="shared" si="0"/>
        <v>Withholding under probing</v>
      </c>
      <c r="K53" t="e">
        <f>_xlfn.XLOOKUP(J53,#REF!,#REF!,"0",0,1)</f>
        <v>#REF!</v>
      </c>
      <c r="N53" t="str">
        <f>IFERROR(INDEX('Hoja 1 - Supabase Transcripts'!$A:$DN,MATCH(A53,'Hoja 1 - Supabase Transcripts'!$A:$A,0),MATCH("gap_segmentation_"&amp;E53,'Hoja 1 - Supabase Transcripts'!$2:$2,0)),"not found")</f>
        <v>not found</v>
      </c>
    </row>
    <row r="54" spans="1:14" ht="409.5" customHeight="1">
      <c r="A54" t="s">
        <v>165</v>
      </c>
      <c r="B54">
        <v>1</v>
      </c>
      <c r="C54" t="s">
        <v>442</v>
      </c>
      <c r="D54" t="s">
        <v>446</v>
      </c>
      <c r="E54" t="s">
        <v>256</v>
      </c>
      <c r="F54" t="s">
        <v>447</v>
      </c>
      <c r="G54" t="s">
        <v>448</v>
      </c>
      <c r="H54">
        <v>0.8</v>
      </c>
      <c r="I54" t="s">
        <v>264</v>
      </c>
      <c r="J54" t="str">
        <f t="shared" si="0"/>
        <v>Concern content - FAMILY A</v>
      </c>
      <c r="K54"/>
      <c r="N54" t="str">
        <f>IFERROR(INDEX('Hoja 1 - Supabase Transcripts'!$A:$DN,MATCH(A54,'Hoja 1 - Supabase Transcripts'!$A:$A,0),MATCH("gap_segmentation_"&amp;E54,'Hoja 1 - Supabase Transcripts'!$2:$2,0)),"not found")</f>
        <v>not found</v>
      </c>
    </row>
    <row r="55" spans="1:14" ht="409.5" customHeight="1">
      <c r="A55" t="s">
        <v>165</v>
      </c>
      <c r="B55">
        <v>1</v>
      </c>
      <c r="C55" t="s">
        <v>442</v>
      </c>
      <c r="D55" t="s">
        <v>449</v>
      </c>
      <c r="E55" s="16" t="s">
        <v>256</v>
      </c>
      <c r="F55" t="s">
        <v>450</v>
      </c>
      <c r="G55" t="s">
        <v>451</v>
      </c>
      <c r="H55">
        <v>0.85</v>
      </c>
      <c r="I55" t="s">
        <v>259</v>
      </c>
      <c r="J55" t="str">
        <f t="shared" si="0"/>
        <v>Rationalizing leadership absence</v>
      </c>
      <c r="K55" t="e">
        <f>_xlfn.XLOOKUP(J55,#REF!,#REF!,"0",0,1)</f>
        <v>#REF!</v>
      </c>
      <c r="N55" t="str">
        <f>IFERROR(INDEX('Hoja 1 - Supabase Transcripts'!$A:$DN,MATCH(A55,'Hoja 1 - Supabase Transcripts'!$A:$A,0),MATCH("gap_segmentation_"&amp;E55,'Hoja 1 - Supabase Transcripts'!$2:$2,0)),"not found")</f>
        <v>not found</v>
      </c>
    </row>
    <row r="56" spans="1:14" ht="409.5" customHeight="1">
      <c r="A56" t="s">
        <v>239</v>
      </c>
      <c r="B56">
        <v>4</v>
      </c>
      <c r="C56" t="s">
        <v>452</v>
      </c>
      <c r="D56" t="s">
        <v>453</v>
      </c>
      <c r="E56" t="s">
        <v>313</v>
      </c>
      <c r="F56" t="s">
        <v>454</v>
      </c>
      <c r="G56" t="s">
        <v>455</v>
      </c>
      <c r="H56">
        <v>0.85</v>
      </c>
      <c r="I56" t="s">
        <v>264</v>
      </c>
      <c r="J56" t="str">
        <f t="shared" si="0"/>
        <v>Concern content - FAMILY A</v>
      </c>
      <c r="K56"/>
      <c r="N56" t="str">
        <f>IFERROR(INDEX('Hoja 1 - Supabase Transcripts'!$A:$DN,MATCH(A56,'Hoja 1 - Supabase Transcripts'!$A:$A,0),MATCH("gap_segmentation_"&amp;E56,'Hoja 1 - Supabase Transcripts'!$2:$2,0)),"not found")</f>
        <v>not found</v>
      </c>
    </row>
    <row r="57" spans="1:14" ht="409.5" customHeight="1">
      <c r="A57" t="s">
        <v>239</v>
      </c>
      <c r="B57">
        <v>4</v>
      </c>
      <c r="C57" t="s">
        <v>452</v>
      </c>
      <c r="D57" t="s">
        <v>456</v>
      </c>
      <c r="E57" t="s">
        <v>261</v>
      </c>
      <c r="F57" t="s">
        <v>457</v>
      </c>
      <c r="G57" t="s">
        <v>458</v>
      </c>
      <c r="H57">
        <v>0.85</v>
      </c>
      <c r="I57" t="s">
        <v>264</v>
      </c>
      <c r="J57" t="str">
        <f t="shared" si="0"/>
        <v>Concern content - FAMILY A</v>
      </c>
      <c r="K57"/>
      <c r="N57" t="str">
        <f>IFERROR(INDEX('Hoja 1 - Supabase Transcripts'!$A:$DN,MATCH(A57,'Hoja 1 - Supabase Transcripts'!$A:$A,0),MATCH("gap_segmentation_"&amp;E57,'Hoja 1 - Supabase Transcripts'!$2:$2,0)),"not found")</f>
        <v>not found</v>
      </c>
    </row>
    <row r="58" spans="1:14" ht="409.5" customHeight="1">
      <c r="A58" t="s">
        <v>239</v>
      </c>
      <c r="B58">
        <v>4</v>
      </c>
      <c r="C58" t="s">
        <v>452</v>
      </c>
      <c r="D58" t="s">
        <v>459</v>
      </c>
      <c r="E58" t="s">
        <v>261</v>
      </c>
      <c r="F58" t="s">
        <v>460</v>
      </c>
      <c r="G58" t="s">
        <v>461</v>
      </c>
      <c r="H58">
        <v>0.9</v>
      </c>
      <c r="I58" t="s">
        <v>462</v>
      </c>
      <c r="J58" t="str">
        <f t="shared" si="0"/>
        <v>Channel exposure management</v>
      </c>
      <c r="K58" t="e">
        <f>_xlfn.XLOOKUP(J58,#REF!,#REF!,"0",0,1)</f>
        <v>#REF!</v>
      </c>
      <c r="N58" t="str">
        <f>IFERROR(INDEX('Hoja 1 - Supabase Transcripts'!$A:$DN,MATCH(A58,'Hoja 1 - Supabase Transcripts'!$A:$A,0),MATCH("gap_segmentation_"&amp;E58,'Hoja 1 - Supabase Transcripts'!$2:$2,0)),"not found")</f>
        <v>not found</v>
      </c>
    </row>
    <row r="59" spans="1:14" ht="409.5" customHeight="1">
      <c r="A59" t="s">
        <v>239</v>
      </c>
      <c r="B59">
        <v>4</v>
      </c>
      <c r="C59" t="s">
        <v>452</v>
      </c>
      <c r="D59" t="s">
        <v>463</v>
      </c>
      <c r="E59" s="16" t="s">
        <v>266</v>
      </c>
      <c r="F59" t="s">
        <v>464</v>
      </c>
      <c r="G59" t="s">
        <v>465</v>
      </c>
      <c r="H59">
        <v>0.95</v>
      </c>
      <c r="I59" t="s">
        <v>289</v>
      </c>
      <c r="J59" t="str">
        <f t="shared" si="0"/>
        <v>Normalization of extreme conditions</v>
      </c>
      <c r="K59" t="e">
        <f>_xlfn.XLOOKUP(J59,#REF!,#REF!,"0",0,1)</f>
        <v>#REF!</v>
      </c>
      <c r="N59" t="str">
        <f>IFERROR(INDEX('Hoja 1 - Supabase Transcripts'!$A:$DN,MATCH(A59,'Hoja 1 - Supabase Transcripts'!$A:$A,0),MATCH("gap_segmentation_"&amp;E59,'Hoja 1 - Supabase Transcripts'!$2:$2,0)),"not found")</f>
        <v>not found</v>
      </c>
    </row>
    <row r="60" spans="1:14" ht="409.5" customHeight="1">
      <c r="A60" t="s">
        <v>239</v>
      </c>
      <c r="B60">
        <v>4</v>
      </c>
      <c r="C60" t="s">
        <v>452</v>
      </c>
      <c r="D60" t="s">
        <v>466</v>
      </c>
      <c r="E60" t="s">
        <v>266</v>
      </c>
      <c r="F60" t="s">
        <v>467</v>
      </c>
      <c r="G60" t="s">
        <v>468</v>
      </c>
      <c r="H60">
        <v>0.9</v>
      </c>
      <c r="I60" t="s">
        <v>264</v>
      </c>
      <c r="J60" t="str">
        <f t="shared" si="0"/>
        <v>Concern content - FAMILY A</v>
      </c>
      <c r="K60"/>
      <c r="N60" t="str">
        <f>IFERROR(INDEX('Hoja 1 - Supabase Transcripts'!$A:$DN,MATCH(A60,'Hoja 1 - Supabase Transcripts'!$A:$A,0),MATCH("gap_segmentation_"&amp;E60,'Hoja 1 - Supabase Transcripts'!$2:$2,0)),"not found")</f>
        <v>not found</v>
      </c>
    </row>
    <row r="61" spans="1:14" ht="409.5" customHeight="1">
      <c r="A61" t="s">
        <v>201</v>
      </c>
      <c r="B61">
        <v>1</v>
      </c>
      <c r="C61" t="s">
        <v>469</v>
      </c>
      <c r="D61" t="s">
        <v>470</v>
      </c>
      <c r="E61" s="16" t="s">
        <v>256</v>
      </c>
      <c r="F61" t="s">
        <v>471</v>
      </c>
      <c r="G61" t="s">
        <v>472</v>
      </c>
      <c r="H61">
        <v>0.8</v>
      </c>
      <c r="I61" t="s">
        <v>259</v>
      </c>
      <c r="J61" t="str">
        <f t="shared" si="0"/>
        <v>Rationalizing leadership absence</v>
      </c>
      <c r="K61" t="e">
        <f>_xlfn.XLOOKUP(J61,#REF!,#REF!,"0",0,1)</f>
        <v>#REF!</v>
      </c>
      <c r="N61" t="str">
        <f>IFERROR(INDEX('Hoja 1 - Supabase Transcripts'!$A:$DN,MATCH(A61,'Hoja 1 - Supabase Transcripts'!$A:$A,0),MATCH("gap_segmentation_"&amp;E61,'Hoja 1 - Supabase Transcripts'!$2:$2,0)),"not found")</f>
        <v>not found</v>
      </c>
    </row>
    <row r="62" spans="1:14" ht="409.5" customHeight="1">
      <c r="A62" t="s">
        <v>201</v>
      </c>
      <c r="B62">
        <v>1</v>
      </c>
      <c r="C62" t="s">
        <v>469</v>
      </c>
      <c r="D62" t="s">
        <v>473</v>
      </c>
      <c r="E62" t="s">
        <v>256</v>
      </c>
      <c r="F62" t="s">
        <v>474</v>
      </c>
      <c r="G62" t="s">
        <v>475</v>
      </c>
      <c r="H62">
        <v>0.85</v>
      </c>
      <c r="I62" t="s">
        <v>264</v>
      </c>
      <c r="J62" t="str">
        <f t="shared" si="0"/>
        <v>Concern content - FAMILY A</v>
      </c>
      <c r="K62"/>
      <c r="N62" t="str">
        <f>IFERROR(INDEX('Hoja 1 - Supabase Transcripts'!$A:$DN,MATCH(A62,'Hoja 1 - Supabase Transcripts'!$A:$A,0),MATCH("gap_segmentation_"&amp;E62,'Hoja 1 - Supabase Transcripts'!$2:$2,0)),"not found")</f>
        <v>not found</v>
      </c>
    </row>
    <row r="63" spans="1:14" ht="409.5" customHeight="1">
      <c r="A63" t="s">
        <v>201</v>
      </c>
      <c r="B63">
        <v>1</v>
      </c>
      <c r="C63" t="s">
        <v>469</v>
      </c>
      <c r="D63" t="s">
        <v>476</v>
      </c>
      <c r="E63" t="s">
        <v>261</v>
      </c>
      <c r="F63" t="s">
        <v>477</v>
      </c>
      <c r="G63" t="s">
        <v>478</v>
      </c>
      <c r="H63">
        <v>0.9</v>
      </c>
      <c r="I63" t="s">
        <v>274</v>
      </c>
      <c r="J63" t="str">
        <f t="shared" si="0"/>
        <v>FAMILY_A_CONCERN_CONTENT</v>
      </c>
      <c r="K63"/>
      <c r="N63" t="str">
        <f>IFERROR(INDEX('Hoja 1 - Supabase Transcripts'!$A:$DN,MATCH(A63,'Hoja 1 - Supabase Transcripts'!$A:$A,0),MATCH("gap_segmentation_"&amp;E63,'Hoja 1 - Supabase Transcripts'!$2:$2,0)),"not found")</f>
        <v>not found</v>
      </c>
    </row>
    <row r="64" spans="1:14" ht="409.5" customHeight="1">
      <c r="A64" t="s">
        <v>201</v>
      </c>
      <c r="B64">
        <v>1</v>
      </c>
      <c r="C64" t="s">
        <v>469</v>
      </c>
      <c r="D64" t="s">
        <v>479</v>
      </c>
      <c r="E64" t="s">
        <v>261</v>
      </c>
      <c r="F64" t="s">
        <v>480</v>
      </c>
      <c r="G64" t="s">
        <v>481</v>
      </c>
      <c r="H64">
        <v>0.95</v>
      </c>
      <c r="I64" t="s">
        <v>264</v>
      </c>
      <c r="J64" t="str">
        <f t="shared" si="0"/>
        <v>Concern content - FAMILY A</v>
      </c>
      <c r="K64"/>
      <c r="N64" t="str">
        <f>IFERROR(INDEX('Hoja 1 - Supabase Transcripts'!$A:$DN,MATCH(A64,'Hoja 1 - Supabase Transcripts'!$A:$A,0),MATCH("gap_segmentation_"&amp;E64,'Hoja 1 - Supabase Transcripts'!$2:$2,0)),"not found")</f>
        <v>not found</v>
      </c>
    </row>
    <row r="65" spans="1:14" ht="409.5" customHeight="1">
      <c r="A65" t="s">
        <v>201</v>
      </c>
      <c r="B65">
        <v>1</v>
      </c>
      <c r="C65" t="s">
        <v>469</v>
      </c>
      <c r="D65" t="s">
        <v>482</v>
      </c>
      <c r="E65" t="s">
        <v>261</v>
      </c>
      <c r="F65" t="s">
        <v>483</v>
      </c>
      <c r="G65" t="s">
        <v>484</v>
      </c>
      <c r="H65">
        <v>0.85</v>
      </c>
      <c r="I65" t="s">
        <v>259</v>
      </c>
      <c r="J65" t="str">
        <f t="shared" si="0"/>
        <v>Rationalizing leadership absence</v>
      </c>
      <c r="K65" t="e">
        <f>_xlfn.XLOOKUP(J65,#REF!,#REF!,"0",0,1)</f>
        <v>#REF!</v>
      </c>
      <c r="N65" t="str">
        <f>IFERROR(INDEX('Hoja 1 - Supabase Transcripts'!$A:$DN,MATCH(A65,'Hoja 1 - Supabase Transcripts'!$A:$A,0),MATCH("gap_segmentation_"&amp;E65,'Hoja 1 - Supabase Transcripts'!$2:$2,0)),"not found")</f>
        <v>not found</v>
      </c>
    </row>
    <row r="66" spans="1:14" ht="409.5" customHeight="1">
      <c r="A66" t="s">
        <v>201</v>
      </c>
      <c r="B66">
        <v>1</v>
      </c>
      <c r="C66" t="s">
        <v>469</v>
      </c>
      <c r="D66" t="s">
        <v>485</v>
      </c>
      <c r="E66" t="s">
        <v>261</v>
      </c>
      <c r="F66" t="s">
        <v>486</v>
      </c>
      <c r="G66" t="s">
        <v>487</v>
      </c>
      <c r="H66">
        <v>1</v>
      </c>
      <c r="I66" t="s">
        <v>264</v>
      </c>
      <c r="J66" t="str">
        <f t="shared" ref="J66:J129" si="1">IF(OR(I66="Epistemic hedging",I66="Qualifying severity while disclosing",I66="Downgrading emotional intensity"),"Hedged, qualified disclosure",IF(OR(I66="Externalizing accountability",I66="Self-attributing structural problems"),"Protective attribution shifting",IF(OR(I66="Refusal to elaborate under probing",I66="Retracting or qualifying disclosure"),"Withholding under probing",IF(OR(I66="Managing traceability and exposure",I66="Compartmentalizing the AI channel"),"Channel exposure management",IF(OR(I66="Skepticism toward remedy",I66="Anticipating dismissal or misrecognition"),"Anticipated futility of voice",IF(OR(I66="Calling out known but unaddressed issues",I66="Silence within expression"),"Recognized but unescalated concerns",I66))))))</f>
        <v>Concern content - FAMILY A</v>
      </c>
      <c r="K66"/>
      <c r="N66" t="str">
        <f>IFERROR(INDEX('Hoja 1 - Supabase Transcripts'!$A:$DN,MATCH(A66,'Hoja 1 - Supabase Transcripts'!$A:$A,0),MATCH("gap_segmentation_"&amp;E66,'Hoja 1 - Supabase Transcripts'!$2:$2,0)),"not found")</f>
        <v>not found</v>
      </c>
    </row>
    <row r="67" spans="1:14" ht="409.5" customHeight="1">
      <c r="A67" t="s">
        <v>201</v>
      </c>
      <c r="B67">
        <v>1</v>
      </c>
      <c r="C67" t="s">
        <v>469</v>
      </c>
      <c r="D67" t="s">
        <v>488</v>
      </c>
      <c r="E67" t="s">
        <v>261</v>
      </c>
      <c r="F67" t="s">
        <v>489</v>
      </c>
      <c r="G67" t="s">
        <v>490</v>
      </c>
      <c r="H67">
        <v>0.95</v>
      </c>
      <c r="I67" t="s">
        <v>264</v>
      </c>
      <c r="J67" t="str">
        <f t="shared" si="1"/>
        <v>Concern content - FAMILY A</v>
      </c>
      <c r="K67"/>
      <c r="N67" t="str">
        <f>IFERROR(INDEX('Hoja 1 - Supabase Transcripts'!$A:$DN,MATCH(A67,'Hoja 1 - Supabase Transcripts'!$A:$A,0),MATCH("gap_segmentation_"&amp;E67,'Hoja 1 - Supabase Transcripts'!$2:$2,0)),"not found")</f>
        <v>not found</v>
      </c>
    </row>
    <row r="68" spans="1:14" ht="409.5" customHeight="1">
      <c r="A68" t="s">
        <v>201</v>
      </c>
      <c r="B68">
        <v>1</v>
      </c>
      <c r="C68" t="s">
        <v>469</v>
      </c>
      <c r="D68" t="s">
        <v>491</v>
      </c>
      <c r="E68" t="s">
        <v>261</v>
      </c>
      <c r="F68" t="s">
        <v>492</v>
      </c>
      <c r="G68" t="s">
        <v>493</v>
      </c>
      <c r="H68">
        <v>1</v>
      </c>
      <c r="I68" t="s">
        <v>264</v>
      </c>
      <c r="J68" t="str">
        <f t="shared" si="1"/>
        <v>Concern content - FAMILY A</v>
      </c>
      <c r="K68"/>
      <c r="N68" t="str">
        <f>IFERROR(INDEX('Hoja 1 - Supabase Transcripts'!$A:$DN,MATCH(A68,'Hoja 1 - Supabase Transcripts'!$A:$A,0),MATCH("gap_segmentation_"&amp;E68,'Hoja 1 - Supabase Transcripts'!$2:$2,0)),"not found")</f>
        <v>not found</v>
      </c>
    </row>
    <row r="69" spans="1:14" ht="409.5" customHeight="1">
      <c r="A69" t="s">
        <v>201</v>
      </c>
      <c r="B69">
        <v>1</v>
      </c>
      <c r="C69" t="s">
        <v>469</v>
      </c>
      <c r="D69" t="s">
        <v>494</v>
      </c>
      <c r="E69" t="s">
        <v>261</v>
      </c>
      <c r="F69" t="s">
        <v>495</v>
      </c>
      <c r="G69" t="s">
        <v>496</v>
      </c>
      <c r="H69">
        <v>1</v>
      </c>
      <c r="I69" t="s">
        <v>264</v>
      </c>
      <c r="J69" t="str">
        <f t="shared" si="1"/>
        <v>Concern content - FAMILY A</v>
      </c>
      <c r="K69"/>
      <c r="N69" t="str">
        <f>IFERROR(INDEX('Hoja 1 - Supabase Transcripts'!$A:$DN,MATCH(A69,'Hoja 1 - Supabase Transcripts'!$A:$A,0),MATCH("gap_segmentation_"&amp;E69,'Hoja 1 - Supabase Transcripts'!$2:$2,0)),"not found")</f>
        <v>not found</v>
      </c>
    </row>
    <row r="70" spans="1:14" ht="409.5" customHeight="1">
      <c r="A70" t="s">
        <v>201</v>
      </c>
      <c r="B70">
        <v>1</v>
      </c>
      <c r="C70" t="s">
        <v>469</v>
      </c>
      <c r="D70" t="s">
        <v>497</v>
      </c>
      <c r="E70" t="s">
        <v>261</v>
      </c>
      <c r="F70" t="s">
        <v>498</v>
      </c>
      <c r="G70" t="s">
        <v>499</v>
      </c>
      <c r="H70">
        <v>0.9</v>
      </c>
      <c r="I70" t="s">
        <v>264</v>
      </c>
      <c r="J70" t="str">
        <f t="shared" si="1"/>
        <v>Concern content - FAMILY A</v>
      </c>
      <c r="K70"/>
      <c r="N70" t="str">
        <f>IFERROR(INDEX('Hoja 1 - Supabase Transcripts'!$A:$DN,MATCH(A70,'Hoja 1 - Supabase Transcripts'!$A:$A,0),MATCH("gap_segmentation_"&amp;E70,'Hoja 1 - Supabase Transcripts'!$2:$2,0)),"not found")</f>
        <v>not found</v>
      </c>
    </row>
    <row r="71" spans="1:14" ht="409.5" customHeight="1">
      <c r="A71" t="s">
        <v>201</v>
      </c>
      <c r="B71">
        <v>1</v>
      </c>
      <c r="C71" t="s">
        <v>469</v>
      </c>
      <c r="D71" t="s">
        <v>500</v>
      </c>
      <c r="E71" t="s">
        <v>266</v>
      </c>
      <c r="F71" t="s">
        <v>501</v>
      </c>
      <c r="G71" t="s">
        <v>502</v>
      </c>
      <c r="H71">
        <v>1</v>
      </c>
      <c r="I71" t="s">
        <v>264</v>
      </c>
      <c r="J71" t="str">
        <f t="shared" si="1"/>
        <v>Concern content - FAMILY A</v>
      </c>
      <c r="K71"/>
      <c r="N71" t="str">
        <f>IFERROR(INDEX('Hoja 1 - Supabase Transcripts'!$A:$DN,MATCH(A71,'Hoja 1 - Supabase Transcripts'!$A:$A,0),MATCH("gap_segmentation_"&amp;E71,'Hoja 1 - Supabase Transcripts'!$2:$2,0)),"not found")</f>
        <v>not found</v>
      </c>
    </row>
    <row r="72" spans="1:14" ht="409.5" customHeight="1">
      <c r="A72" t="s">
        <v>201</v>
      </c>
      <c r="B72">
        <v>1</v>
      </c>
      <c r="C72" t="s">
        <v>469</v>
      </c>
      <c r="D72" t="s">
        <v>503</v>
      </c>
      <c r="E72" s="16" t="s">
        <v>266</v>
      </c>
      <c r="F72" t="s">
        <v>504</v>
      </c>
      <c r="G72" t="s">
        <v>505</v>
      </c>
      <c r="H72">
        <v>0.95</v>
      </c>
      <c r="I72" t="s">
        <v>330</v>
      </c>
      <c r="J72" t="str">
        <f t="shared" si="1"/>
        <v>Protective attribution shifting</v>
      </c>
      <c r="K72" t="e">
        <f>_xlfn.XLOOKUP(J72,#REF!,#REF!,"0",0,1)</f>
        <v>#REF!</v>
      </c>
      <c r="N72" t="str">
        <f>IFERROR(INDEX('Hoja 1 - Supabase Transcripts'!$A:$DN,MATCH(A72,'Hoja 1 - Supabase Transcripts'!$A:$A,0),MATCH("gap_segmentation_"&amp;E72,'Hoja 1 - Supabase Transcripts'!$2:$2,0)),"not found")</f>
        <v>not found</v>
      </c>
    </row>
    <row r="73" spans="1:14" ht="409.5" customHeight="1">
      <c r="A73" t="s">
        <v>161</v>
      </c>
      <c r="B73">
        <v>1</v>
      </c>
      <c r="C73" t="s">
        <v>506</v>
      </c>
      <c r="D73" t="s">
        <v>507</v>
      </c>
      <c r="E73" t="s">
        <v>429</v>
      </c>
      <c r="F73" t="s">
        <v>508</v>
      </c>
      <c r="G73" t="s">
        <v>509</v>
      </c>
      <c r="H73">
        <v>0.87</v>
      </c>
      <c r="I73" t="s">
        <v>435</v>
      </c>
      <c r="J73" t="str">
        <f t="shared" si="1"/>
        <v>Disclaiming assessment capacity</v>
      </c>
      <c r="K73" t="e">
        <f>_xlfn.XLOOKUP(J73,#REF!,#REF!,"0",0,1)</f>
        <v>#REF!</v>
      </c>
      <c r="N73" t="str">
        <f>IFERROR(INDEX('Hoja 1 - Supabase Transcripts'!$A:$DN,MATCH(A73,'Hoja 1 - Supabase Transcripts'!$A:$A,0),MATCH("gap_segmentation_"&amp;E73,'Hoja 1 - Supabase Transcripts'!$2:$2,0)),"not found")</f>
        <v>not found</v>
      </c>
    </row>
    <row r="74" spans="1:14" ht="409.5" customHeight="1">
      <c r="A74" t="s">
        <v>161</v>
      </c>
      <c r="B74">
        <v>1</v>
      </c>
      <c r="C74" t="s">
        <v>506</v>
      </c>
      <c r="D74" t="s">
        <v>510</v>
      </c>
      <c r="E74" s="16" t="s">
        <v>256</v>
      </c>
      <c r="F74" t="s">
        <v>511</v>
      </c>
      <c r="G74" t="s">
        <v>512</v>
      </c>
      <c r="H74">
        <v>0.9</v>
      </c>
      <c r="I74" t="s">
        <v>281</v>
      </c>
      <c r="J74" t="str">
        <f t="shared" si="1"/>
        <v>Aspirational framing of unmet needs</v>
      </c>
      <c r="K74" t="e">
        <f>_xlfn.XLOOKUP(J74,#REF!,#REF!,"0",0,1)</f>
        <v>#REF!</v>
      </c>
      <c r="N74" t="str">
        <f>IFERROR(INDEX('Hoja 1 - Supabase Transcripts'!$A:$DN,MATCH(A74,'Hoja 1 - Supabase Transcripts'!$A:$A,0),MATCH("gap_segmentation_"&amp;E74,'Hoja 1 - Supabase Transcripts'!$2:$2,0)),"not found")</f>
        <v>not found</v>
      </c>
    </row>
    <row r="75" spans="1:14" ht="409.5" customHeight="1">
      <c r="A75" t="s">
        <v>161</v>
      </c>
      <c r="B75">
        <v>1</v>
      </c>
      <c r="C75" t="s">
        <v>506</v>
      </c>
      <c r="D75" t="s">
        <v>513</v>
      </c>
      <c r="E75" s="16" t="s">
        <v>256</v>
      </c>
      <c r="F75" t="s">
        <v>514</v>
      </c>
      <c r="G75" t="s">
        <v>515</v>
      </c>
      <c r="H75">
        <v>0.8</v>
      </c>
      <c r="I75" t="s">
        <v>435</v>
      </c>
      <c r="J75" t="str">
        <f t="shared" si="1"/>
        <v>Disclaiming assessment capacity</v>
      </c>
      <c r="K75" t="e">
        <f>_xlfn.XLOOKUP(J75,#REF!,#REF!,"0",0,1)</f>
        <v>#REF!</v>
      </c>
      <c r="N75" t="str">
        <f>IFERROR(INDEX('Hoja 1 - Supabase Transcripts'!$A:$DN,MATCH(A75,'Hoja 1 - Supabase Transcripts'!$A:$A,0),MATCH("gap_segmentation_"&amp;E75,'Hoja 1 - Supabase Transcripts'!$2:$2,0)),"not found")</f>
        <v>not found</v>
      </c>
    </row>
    <row r="76" spans="1:14" ht="409.5" customHeight="1">
      <c r="A76" t="s">
        <v>161</v>
      </c>
      <c r="B76">
        <v>1</v>
      </c>
      <c r="C76" t="s">
        <v>506</v>
      </c>
      <c r="D76" t="s">
        <v>516</v>
      </c>
      <c r="E76" t="s">
        <v>261</v>
      </c>
      <c r="F76" t="s">
        <v>517</v>
      </c>
      <c r="G76" t="s">
        <v>518</v>
      </c>
      <c r="H76">
        <v>0.95</v>
      </c>
      <c r="I76" t="s">
        <v>264</v>
      </c>
      <c r="J76" t="str">
        <f t="shared" si="1"/>
        <v>Concern content - FAMILY A</v>
      </c>
      <c r="K76"/>
      <c r="N76" t="str">
        <f>IFERROR(INDEX('Hoja 1 - Supabase Transcripts'!$A:$DN,MATCH(A76,'Hoja 1 - Supabase Transcripts'!$A:$A,0),MATCH("gap_segmentation_"&amp;E76,'Hoja 1 - Supabase Transcripts'!$2:$2,0)),"not found")</f>
        <v>not found</v>
      </c>
    </row>
    <row r="77" spans="1:14" ht="409.5" customHeight="1">
      <c r="A77" t="s">
        <v>161</v>
      </c>
      <c r="B77">
        <v>1</v>
      </c>
      <c r="C77" t="s">
        <v>506</v>
      </c>
      <c r="D77" t="s">
        <v>519</v>
      </c>
      <c r="E77" t="s">
        <v>261</v>
      </c>
      <c r="F77" t="s">
        <v>520</v>
      </c>
      <c r="G77" t="s">
        <v>521</v>
      </c>
      <c r="H77">
        <v>0.88</v>
      </c>
      <c r="I77" t="s">
        <v>293</v>
      </c>
      <c r="J77" t="str">
        <f t="shared" si="1"/>
        <v>Protective attribution shifting</v>
      </c>
      <c r="K77" t="e">
        <f>_xlfn.XLOOKUP(J77,#REF!,#REF!,"0",0,1)</f>
        <v>#REF!</v>
      </c>
      <c r="N77" t="str">
        <f>IFERROR(INDEX('Hoja 1 - Supabase Transcripts'!$A:$DN,MATCH(A77,'Hoja 1 - Supabase Transcripts'!$A:$A,0),MATCH("gap_segmentation_"&amp;E77,'Hoja 1 - Supabase Transcripts'!$2:$2,0)),"not found")</f>
        <v>not found</v>
      </c>
    </row>
    <row r="78" spans="1:14" ht="409.5" customHeight="1">
      <c r="A78" t="s">
        <v>161</v>
      </c>
      <c r="B78">
        <v>1</v>
      </c>
      <c r="C78" t="s">
        <v>506</v>
      </c>
      <c r="D78" t="s">
        <v>522</v>
      </c>
      <c r="E78" t="s">
        <v>266</v>
      </c>
      <c r="F78" t="s">
        <v>523</v>
      </c>
      <c r="G78" t="s">
        <v>524</v>
      </c>
      <c r="H78">
        <v>0.92</v>
      </c>
      <c r="I78" t="s">
        <v>264</v>
      </c>
      <c r="J78" t="str">
        <f t="shared" si="1"/>
        <v>Concern content - FAMILY A</v>
      </c>
      <c r="K78"/>
      <c r="N78" t="str">
        <f>IFERROR(INDEX('Hoja 1 - Supabase Transcripts'!$A:$DN,MATCH(A78,'Hoja 1 - Supabase Transcripts'!$A:$A,0),MATCH("gap_segmentation_"&amp;E78,'Hoja 1 - Supabase Transcripts'!$2:$2,0)),"not found")</f>
        <v>not found</v>
      </c>
    </row>
    <row r="79" spans="1:14" ht="409.5" customHeight="1">
      <c r="A79" t="s">
        <v>161</v>
      </c>
      <c r="B79">
        <v>1</v>
      </c>
      <c r="C79" t="s">
        <v>506</v>
      </c>
      <c r="D79" t="s">
        <v>525</v>
      </c>
      <c r="E79" s="16" t="s">
        <v>266</v>
      </c>
      <c r="F79" t="s">
        <v>526</v>
      </c>
      <c r="G79" t="s">
        <v>527</v>
      </c>
      <c r="H79">
        <v>0.85</v>
      </c>
      <c r="I79" t="s">
        <v>293</v>
      </c>
      <c r="J79" t="str">
        <f t="shared" si="1"/>
        <v>Protective attribution shifting</v>
      </c>
      <c r="K79" t="e">
        <f>_xlfn.XLOOKUP(J79,#REF!,#REF!,"0",0,1)</f>
        <v>#REF!</v>
      </c>
      <c r="N79" t="str">
        <f>IFERROR(INDEX('Hoja 1 - Supabase Transcripts'!$A:$DN,MATCH(A79,'Hoja 1 - Supabase Transcripts'!$A:$A,0),MATCH("gap_segmentation_"&amp;E79,'Hoja 1 - Supabase Transcripts'!$2:$2,0)),"not found")</f>
        <v>not found</v>
      </c>
    </row>
    <row r="80" spans="1:14" ht="409.5" customHeight="1">
      <c r="A80" t="s">
        <v>194</v>
      </c>
      <c r="B80">
        <v>1</v>
      </c>
      <c r="C80" t="s">
        <v>528</v>
      </c>
      <c r="D80" t="s">
        <v>529</v>
      </c>
      <c r="E80" t="s">
        <v>261</v>
      </c>
      <c r="F80" t="s">
        <v>530</v>
      </c>
      <c r="G80" t="s">
        <v>531</v>
      </c>
      <c r="H80">
        <v>0.85</v>
      </c>
      <c r="I80" t="s">
        <v>264</v>
      </c>
      <c r="J80" t="str">
        <f t="shared" si="1"/>
        <v>Concern content - FAMILY A</v>
      </c>
      <c r="K80"/>
      <c r="N80" t="str">
        <f>IFERROR(INDEX('Hoja 1 - Supabase Transcripts'!$A:$DN,MATCH(A80,'Hoja 1 - Supabase Transcripts'!$A:$A,0),MATCH("gap_segmentation_"&amp;E80,'Hoja 1 - Supabase Transcripts'!$2:$2,0)),"not found")</f>
        <v>not found</v>
      </c>
    </row>
    <row r="81" spans="1:14" ht="409.5" customHeight="1">
      <c r="A81" t="s">
        <v>194</v>
      </c>
      <c r="B81">
        <v>1</v>
      </c>
      <c r="C81" t="s">
        <v>528</v>
      </c>
      <c r="D81" t="s">
        <v>532</v>
      </c>
      <c r="E81" t="s">
        <v>261</v>
      </c>
      <c r="F81" t="s">
        <v>533</v>
      </c>
      <c r="G81" t="s">
        <v>534</v>
      </c>
      <c r="H81">
        <v>0.95</v>
      </c>
      <c r="I81" t="s">
        <v>293</v>
      </c>
      <c r="J81" t="str">
        <f t="shared" si="1"/>
        <v>Protective attribution shifting</v>
      </c>
      <c r="K81" t="e">
        <f>_xlfn.XLOOKUP(J81,#REF!,#REF!,"0",0,1)</f>
        <v>#REF!</v>
      </c>
      <c r="N81" t="str">
        <f>IFERROR(INDEX('Hoja 1 - Supabase Transcripts'!$A:$DN,MATCH(A81,'Hoja 1 - Supabase Transcripts'!$A:$A,0),MATCH("gap_segmentation_"&amp;E81,'Hoja 1 - Supabase Transcripts'!$2:$2,0)),"not found")</f>
        <v>not found</v>
      </c>
    </row>
    <row r="82" spans="1:14" ht="409.5" customHeight="1">
      <c r="A82" t="s">
        <v>194</v>
      </c>
      <c r="B82">
        <v>1</v>
      </c>
      <c r="C82" t="s">
        <v>528</v>
      </c>
      <c r="D82" t="s">
        <v>535</v>
      </c>
      <c r="E82" t="s">
        <v>261</v>
      </c>
      <c r="F82" t="s">
        <v>536</v>
      </c>
      <c r="G82" t="s">
        <v>537</v>
      </c>
      <c r="H82">
        <v>0.9</v>
      </c>
      <c r="I82" t="s">
        <v>264</v>
      </c>
      <c r="J82" t="str">
        <f t="shared" si="1"/>
        <v>Concern content - FAMILY A</v>
      </c>
      <c r="K82"/>
      <c r="N82" t="str">
        <f>IFERROR(INDEX('Hoja 1 - Supabase Transcripts'!$A:$DN,MATCH(A82,'Hoja 1 - Supabase Transcripts'!$A:$A,0),MATCH("gap_segmentation_"&amp;E82,'Hoja 1 - Supabase Transcripts'!$2:$2,0)),"not found")</f>
        <v>not found</v>
      </c>
    </row>
    <row r="83" spans="1:14" ht="409.5" customHeight="1">
      <c r="A83" t="s">
        <v>194</v>
      </c>
      <c r="B83">
        <v>1</v>
      </c>
      <c r="C83" t="s">
        <v>528</v>
      </c>
      <c r="D83" t="s">
        <v>538</v>
      </c>
      <c r="E83" t="s">
        <v>266</v>
      </c>
      <c r="F83" t="s">
        <v>539</v>
      </c>
      <c r="G83" t="s">
        <v>540</v>
      </c>
      <c r="H83">
        <v>0.9</v>
      </c>
      <c r="I83" t="s">
        <v>264</v>
      </c>
      <c r="J83" t="str">
        <f t="shared" si="1"/>
        <v>Concern content - FAMILY A</v>
      </c>
      <c r="K83"/>
      <c r="N83" t="str">
        <f>IFERROR(INDEX('Hoja 1 - Supabase Transcripts'!$A:$DN,MATCH(A83,'Hoja 1 - Supabase Transcripts'!$A:$A,0),MATCH("gap_segmentation_"&amp;E83,'Hoja 1 - Supabase Transcripts'!$2:$2,0)),"not found")</f>
        <v>not found</v>
      </c>
    </row>
    <row r="84" spans="1:14" ht="409.5" customHeight="1">
      <c r="A84" t="s">
        <v>176</v>
      </c>
      <c r="B84">
        <v>1</v>
      </c>
      <c r="C84" t="s">
        <v>541</v>
      </c>
      <c r="D84" t="s">
        <v>542</v>
      </c>
      <c r="E84" t="s">
        <v>261</v>
      </c>
      <c r="F84" t="s">
        <v>543</v>
      </c>
      <c r="G84" t="s">
        <v>544</v>
      </c>
      <c r="H84">
        <v>0.85</v>
      </c>
      <c r="I84" t="s">
        <v>264</v>
      </c>
      <c r="J84" t="str">
        <f t="shared" si="1"/>
        <v>Concern content - FAMILY A</v>
      </c>
      <c r="K84"/>
      <c r="N84" t="str">
        <f>IFERROR(INDEX('Hoja 1 - Supabase Transcripts'!$A:$DN,MATCH(A84,'Hoja 1 - Supabase Transcripts'!$A:$A,0),MATCH("gap_segmentation_"&amp;E84,'Hoja 1 - Supabase Transcripts'!$2:$2,0)),"not found")</f>
        <v>not found</v>
      </c>
    </row>
    <row r="85" spans="1:14" ht="409.5" customHeight="1">
      <c r="A85" t="s">
        <v>176</v>
      </c>
      <c r="B85">
        <v>1</v>
      </c>
      <c r="C85" t="s">
        <v>541</v>
      </c>
      <c r="D85" t="s">
        <v>545</v>
      </c>
      <c r="E85" t="s">
        <v>261</v>
      </c>
      <c r="F85" t="s">
        <v>546</v>
      </c>
      <c r="G85" t="s">
        <v>547</v>
      </c>
      <c r="H85">
        <v>0.9</v>
      </c>
      <c r="I85" t="s">
        <v>264</v>
      </c>
      <c r="J85" t="str">
        <f t="shared" si="1"/>
        <v>Concern content - FAMILY A</v>
      </c>
      <c r="K85"/>
      <c r="N85" t="str">
        <f>IFERROR(INDEX('Hoja 1 - Supabase Transcripts'!$A:$DN,MATCH(A85,'Hoja 1 - Supabase Transcripts'!$A:$A,0),MATCH("gap_segmentation_"&amp;E85,'Hoja 1 - Supabase Transcripts'!$2:$2,0)),"not found")</f>
        <v>not found</v>
      </c>
    </row>
    <row r="86" spans="1:14" ht="409.5" customHeight="1">
      <c r="A86" t="s">
        <v>176</v>
      </c>
      <c r="B86">
        <v>1</v>
      </c>
      <c r="C86" t="s">
        <v>541</v>
      </c>
      <c r="D86" t="s">
        <v>548</v>
      </c>
      <c r="E86" t="s">
        <v>266</v>
      </c>
      <c r="F86" t="s">
        <v>549</v>
      </c>
      <c r="G86" t="s">
        <v>550</v>
      </c>
      <c r="H86">
        <v>0.85</v>
      </c>
      <c r="I86" t="s">
        <v>264</v>
      </c>
      <c r="J86" t="str">
        <f t="shared" si="1"/>
        <v>Concern content - FAMILY A</v>
      </c>
      <c r="K86"/>
      <c r="N86" t="str">
        <f>IFERROR(INDEX('Hoja 1 - Supabase Transcripts'!$A:$DN,MATCH(A86,'Hoja 1 - Supabase Transcripts'!$A:$A,0),MATCH("gap_segmentation_"&amp;E86,'Hoja 1 - Supabase Transcripts'!$2:$2,0)),"not found")</f>
        <v>not found</v>
      </c>
    </row>
    <row r="87" spans="1:14" ht="409.5" customHeight="1">
      <c r="A87" t="s">
        <v>209</v>
      </c>
      <c r="B87">
        <v>2</v>
      </c>
      <c r="C87" t="s">
        <v>551</v>
      </c>
      <c r="D87" t="s">
        <v>552</v>
      </c>
      <c r="E87" t="s">
        <v>313</v>
      </c>
      <c r="F87" t="s">
        <v>553</v>
      </c>
      <c r="G87" t="s">
        <v>554</v>
      </c>
      <c r="H87">
        <v>0.85</v>
      </c>
      <c r="I87" t="s">
        <v>293</v>
      </c>
      <c r="J87" t="str">
        <f t="shared" si="1"/>
        <v>Protective attribution shifting</v>
      </c>
      <c r="K87" t="e">
        <f>_xlfn.XLOOKUP(J87,#REF!,#REF!,"0",0,1)</f>
        <v>#REF!</v>
      </c>
      <c r="N87" t="str">
        <f>IFERROR(INDEX('Hoja 1 - Supabase Transcripts'!$A:$DN,MATCH(A87,'Hoja 1 - Supabase Transcripts'!$A:$A,0),MATCH("gap_segmentation_"&amp;E87,'Hoja 1 - Supabase Transcripts'!$2:$2,0)),"not found")</f>
        <v>not found</v>
      </c>
    </row>
    <row r="88" spans="1:14" ht="409.5" customHeight="1">
      <c r="A88" t="s">
        <v>209</v>
      </c>
      <c r="B88">
        <v>2</v>
      </c>
      <c r="C88" t="s">
        <v>551</v>
      </c>
      <c r="D88" t="s">
        <v>555</v>
      </c>
      <c r="E88" t="s">
        <v>313</v>
      </c>
      <c r="F88" t="s">
        <v>556</v>
      </c>
      <c r="G88" t="s">
        <v>557</v>
      </c>
      <c r="H88">
        <v>0.9</v>
      </c>
      <c r="I88" t="s">
        <v>264</v>
      </c>
      <c r="J88" t="str">
        <f t="shared" si="1"/>
        <v>Concern content - FAMILY A</v>
      </c>
      <c r="K88"/>
      <c r="N88" t="str">
        <f>IFERROR(INDEX('Hoja 1 - Supabase Transcripts'!$A:$DN,MATCH(A88,'Hoja 1 - Supabase Transcripts'!$A:$A,0),MATCH("gap_segmentation_"&amp;E88,'Hoja 1 - Supabase Transcripts'!$2:$2,0)),"not found")</f>
        <v>not found</v>
      </c>
    </row>
    <row r="89" spans="1:14" ht="409.5" customHeight="1">
      <c r="A89" t="s">
        <v>209</v>
      </c>
      <c r="B89">
        <v>2</v>
      </c>
      <c r="C89" t="s">
        <v>551</v>
      </c>
      <c r="D89" t="s">
        <v>558</v>
      </c>
      <c r="E89" t="s">
        <v>313</v>
      </c>
      <c r="F89" t="s">
        <v>559</v>
      </c>
      <c r="G89" t="s">
        <v>560</v>
      </c>
      <c r="H89">
        <v>0.9</v>
      </c>
      <c r="I89" t="s">
        <v>310</v>
      </c>
      <c r="J89" t="str">
        <f t="shared" si="1"/>
        <v>Hedged, qualified disclosure</v>
      </c>
      <c r="K89" t="e">
        <f>_xlfn.XLOOKUP(J89,#REF!,#REF!,"0",0,1)</f>
        <v>#REF!</v>
      </c>
      <c r="N89" t="str">
        <f>IFERROR(INDEX('Hoja 1 - Supabase Transcripts'!$A:$DN,MATCH(A89,'Hoja 1 - Supabase Transcripts'!$A:$A,0),MATCH("gap_segmentation_"&amp;E89,'Hoja 1 - Supabase Transcripts'!$2:$2,0)),"not found")</f>
        <v>not found</v>
      </c>
    </row>
    <row r="90" spans="1:14" ht="409.5" customHeight="1">
      <c r="A90" t="s">
        <v>209</v>
      </c>
      <c r="B90">
        <v>2</v>
      </c>
      <c r="C90" t="s">
        <v>551</v>
      </c>
      <c r="D90" t="s">
        <v>561</v>
      </c>
      <c r="E90" t="s">
        <v>313</v>
      </c>
      <c r="F90" t="s">
        <v>562</v>
      </c>
      <c r="G90" t="s">
        <v>563</v>
      </c>
      <c r="H90">
        <v>0.9</v>
      </c>
      <c r="I90" t="s">
        <v>264</v>
      </c>
      <c r="J90" t="str">
        <f t="shared" si="1"/>
        <v>Concern content - FAMILY A</v>
      </c>
      <c r="K90"/>
      <c r="N90" t="str">
        <f>IFERROR(INDEX('Hoja 1 - Supabase Transcripts'!$A:$DN,MATCH(A90,'Hoja 1 - Supabase Transcripts'!$A:$A,0),MATCH("gap_segmentation_"&amp;E90,'Hoja 1 - Supabase Transcripts'!$2:$2,0)),"not found")</f>
        <v>not found</v>
      </c>
    </row>
    <row r="91" spans="1:14" ht="409.5" customHeight="1">
      <c r="A91" t="s">
        <v>209</v>
      </c>
      <c r="B91">
        <v>2</v>
      </c>
      <c r="C91" t="s">
        <v>551</v>
      </c>
      <c r="D91" t="s">
        <v>564</v>
      </c>
      <c r="E91" t="s">
        <v>313</v>
      </c>
      <c r="F91" t="s">
        <v>565</v>
      </c>
      <c r="G91" t="s">
        <v>566</v>
      </c>
      <c r="H91">
        <v>0.95</v>
      </c>
      <c r="I91" t="s">
        <v>264</v>
      </c>
      <c r="J91" t="str">
        <f t="shared" si="1"/>
        <v>Concern content - FAMILY A</v>
      </c>
      <c r="K91"/>
      <c r="N91" t="str">
        <f>IFERROR(INDEX('Hoja 1 - Supabase Transcripts'!$A:$DN,MATCH(A91,'Hoja 1 - Supabase Transcripts'!$A:$A,0),MATCH("gap_segmentation_"&amp;E91,'Hoja 1 - Supabase Transcripts'!$2:$2,0)),"not found")</f>
        <v>not found</v>
      </c>
    </row>
    <row r="92" spans="1:14" ht="409.5" customHeight="1">
      <c r="A92" t="s">
        <v>209</v>
      </c>
      <c r="B92">
        <v>2</v>
      </c>
      <c r="C92" t="s">
        <v>551</v>
      </c>
      <c r="D92" t="s">
        <v>567</v>
      </c>
      <c r="E92" s="16" t="s">
        <v>256</v>
      </c>
      <c r="F92" t="s">
        <v>568</v>
      </c>
      <c r="G92" t="s">
        <v>569</v>
      </c>
      <c r="H92">
        <v>0.85</v>
      </c>
      <c r="I92" t="s">
        <v>281</v>
      </c>
      <c r="J92" t="str">
        <f t="shared" si="1"/>
        <v>Aspirational framing of unmet needs</v>
      </c>
      <c r="K92" t="e">
        <f>_xlfn.XLOOKUP(J92,#REF!,#REF!,"0",0,1)</f>
        <v>#REF!</v>
      </c>
      <c r="N92" t="str">
        <f>IFERROR(INDEX('Hoja 1 - Supabase Transcripts'!$A:$DN,MATCH(A92,'Hoja 1 - Supabase Transcripts'!$A:$A,0),MATCH("gap_segmentation_"&amp;E92,'Hoja 1 - Supabase Transcripts'!$2:$2,0)),"not found")</f>
        <v>not found</v>
      </c>
    </row>
    <row r="93" spans="1:14" ht="409.5" customHeight="1">
      <c r="A93" t="s">
        <v>209</v>
      </c>
      <c r="B93">
        <v>2</v>
      </c>
      <c r="C93" t="s">
        <v>551</v>
      </c>
      <c r="D93" t="s">
        <v>570</v>
      </c>
      <c r="E93" s="16" t="s">
        <v>266</v>
      </c>
      <c r="F93" t="s">
        <v>571</v>
      </c>
      <c r="G93" t="s">
        <v>572</v>
      </c>
      <c r="H93">
        <v>0.85</v>
      </c>
      <c r="I93" t="s">
        <v>354</v>
      </c>
      <c r="J93" t="str">
        <f t="shared" si="1"/>
        <v>Compensatory reframing</v>
      </c>
      <c r="K93" t="e">
        <f>_xlfn.XLOOKUP(J93,#REF!,#REF!,"0",0,1)</f>
        <v>#REF!</v>
      </c>
      <c r="N93" t="str">
        <f>IFERROR(INDEX('Hoja 1 - Supabase Transcripts'!$A:$DN,MATCH(A93,'Hoja 1 - Supabase Transcripts'!$A:$A,0),MATCH("gap_segmentation_"&amp;E93,'Hoja 1 - Supabase Transcripts'!$2:$2,0)),"not found")</f>
        <v>not found</v>
      </c>
    </row>
    <row r="94" spans="1:14" ht="409.5" customHeight="1">
      <c r="A94" t="s">
        <v>209</v>
      </c>
      <c r="B94">
        <v>2</v>
      </c>
      <c r="C94" t="s">
        <v>551</v>
      </c>
      <c r="D94" t="s">
        <v>573</v>
      </c>
      <c r="E94" t="s">
        <v>266</v>
      </c>
      <c r="F94" t="s">
        <v>574</v>
      </c>
      <c r="G94" t="s">
        <v>575</v>
      </c>
      <c r="H94">
        <v>0.95</v>
      </c>
      <c r="I94" t="s">
        <v>264</v>
      </c>
      <c r="J94" t="str">
        <f t="shared" si="1"/>
        <v>Concern content - FAMILY A</v>
      </c>
      <c r="K94"/>
      <c r="N94" t="str">
        <f>IFERROR(INDEX('Hoja 1 - Supabase Transcripts'!$A:$DN,MATCH(A94,'Hoja 1 - Supabase Transcripts'!$A:$A,0),MATCH("gap_segmentation_"&amp;E94,'Hoja 1 - Supabase Transcripts'!$2:$2,0)),"not found")</f>
        <v>not found</v>
      </c>
    </row>
    <row r="95" spans="1:14" ht="252" customHeight="1">
      <c r="A95" t="s">
        <v>171</v>
      </c>
      <c r="B95">
        <v>1</v>
      </c>
      <c r="C95" t="s">
        <v>576</v>
      </c>
      <c r="D95" t="s">
        <v>577</v>
      </c>
      <c r="E95" t="s">
        <v>313</v>
      </c>
      <c r="F95" t="s">
        <v>578</v>
      </c>
      <c r="G95" t="s">
        <v>579</v>
      </c>
      <c r="H95">
        <v>0.75</v>
      </c>
      <c r="I95" t="s">
        <v>435</v>
      </c>
      <c r="J95" t="str">
        <f t="shared" si="1"/>
        <v>Disclaiming assessment capacity</v>
      </c>
      <c r="K95" t="e">
        <f>_xlfn.XLOOKUP(J95,#REF!,#REF!,"0",0,1)</f>
        <v>#REF!</v>
      </c>
      <c r="N95" t="str">
        <f>IFERROR(INDEX('Hoja 1 - Supabase Transcripts'!$A:$DN,MATCH(A95,'Hoja 1 - Supabase Transcripts'!$A:$A,0),MATCH("gap_segmentation_"&amp;E95,'Hoja 1 - Supabase Transcripts'!$2:$2,0)),"not found")</f>
        <v>not found</v>
      </c>
    </row>
    <row r="96" spans="1:14" ht="409.5" customHeight="1">
      <c r="A96" t="s">
        <v>217</v>
      </c>
      <c r="B96">
        <v>3</v>
      </c>
      <c r="C96" t="s">
        <v>580</v>
      </c>
      <c r="D96" t="s">
        <v>581</v>
      </c>
      <c r="E96" s="16" t="s">
        <v>256</v>
      </c>
      <c r="F96" t="s">
        <v>582</v>
      </c>
      <c r="G96" t="s">
        <v>583</v>
      </c>
      <c r="H96">
        <v>0.7</v>
      </c>
      <c r="I96" t="s">
        <v>259</v>
      </c>
      <c r="J96" t="str">
        <f t="shared" si="1"/>
        <v>Rationalizing leadership absence</v>
      </c>
      <c r="K96" t="e">
        <f>_xlfn.XLOOKUP(J96,#REF!,#REF!,"0",0,1)</f>
        <v>#REF!</v>
      </c>
      <c r="N96" t="str">
        <f>IFERROR(INDEX('Hoja 1 - Supabase Transcripts'!$A:$DN,MATCH(A96,'Hoja 1 - Supabase Transcripts'!$A:$A,0),MATCH("gap_segmentation_"&amp;E96,'Hoja 1 - Supabase Transcripts'!$2:$2,0)),"not found")</f>
        <v>not found</v>
      </c>
    </row>
    <row r="97" spans="1:14" ht="409.5" customHeight="1">
      <c r="A97" t="s">
        <v>217</v>
      </c>
      <c r="B97">
        <v>3</v>
      </c>
      <c r="C97" t="s">
        <v>580</v>
      </c>
      <c r="D97" t="s">
        <v>584</v>
      </c>
      <c r="E97" t="s">
        <v>261</v>
      </c>
      <c r="F97" t="s">
        <v>585</v>
      </c>
      <c r="G97" t="s">
        <v>586</v>
      </c>
      <c r="H97">
        <v>0.75</v>
      </c>
      <c r="I97" t="s">
        <v>435</v>
      </c>
      <c r="J97" t="str">
        <f t="shared" si="1"/>
        <v>Disclaiming assessment capacity</v>
      </c>
      <c r="K97" t="e">
        <f>_xlfn.XLOOKUP(J97,#REF!,#REF!,"0",0,1)</f>
        <v>#REF!</v>
      </c>
      <c r="N97" t="str">
        <f>IFERROR(INDEX('Hoja 1 - Supabase Transcripts'!$A:$DN,MATCH(A97,'Hoja 1 - Supabase Transcripts'!$A:$A,0),MATCH("gap_segmentation_"&amp;E97,'Hoja 1 - Supabase Transcripts'!$2:$2,0)),"not found")</f>
        <v>not found</v>
      </c>
    </row>
    <row r="98" spans="1:14" ht="409.5" customHeight="1">
      <c r="A98" t="s">
        <v>217</v>
      </c>
      <c r="B98">
        <v>3</v>
      </c>
      <c r="C98" t="s">
        <v>580</v>
      </c>
      <c r="D98" t="s">
        <v>587</v>
      </c>
      <c r="E98" t="s">
        <v>266</v>
      </c>
      <c r="F98" t="s">
        <v>588</v>
      </c>
      <c r="G98" t="s">
        <v>589</v>
      </c>
      <c r="H98">
        <v>0.8</v>
      </c>
      <c r="I98" t="s">
        <v>264</v>
      </c>
      <c r="J98" t="str">
        <f t="shared" si="1"/>
        <v>Concern content - FAMILY A</v>
      </c>
      <c r="K98"/>
      <c r="N98" t="str">
        <f>IFERROR(INDEX('Hoja 1 - Supabase Transcripts'!$A:$DN,MATCH(A98,'Hoja 1 - Supabase Transcripts'!$A:$A,0),MATCH("gap_segmentation_"&amp;E98,'Hoja 1 - Supabase Transcripts'!$2:$2,0)),"not found")</f>
        <v>not found</v>
      </c>
    </row>
    <row r="99" spans="1:14" ht="409.5" customHeight="1">
      <c r="A99" t="s">
        <v>174</v>
      </c>
      <c r="B99">
        <v>2</v>
      </c>
      <c r="C99" t="s">
        <v>590</v>
      </c>
      <c r="D99" t="s">
        <v>591</v>
      </c>
      <c r="E99" t="s">
        <v>261</v>
      </c>
      <c r="F99" t="s">
        <v>592</v>
      </c>
      <c r="G99" t="s">
        <v>593</v>
      </c>
      <c r="H99">
        <v>0.85</v>
      </c>
      <c r="I99" t="s">
        <v>264</v>
      </c>
      <c r="J99" t="str">
        <f t="shared" si="1"/>
        <v>Concern content - FAMILY A</v>
      </c>
      <c r="K99"/>
      <c r="N99" t="str">
        <f>IFERROR(INDEX('Hoja 1 - Supabase Transcripts'!$A:$DN,MATCH(A99,'Hoja 1 - Supabase Transcripts'!$A:$A,0),MATCH("gap_segmentation_"&amp;E99,'Hoja 1 - Supabase Transcripts'!$2:$2,0)),"not found")</f>
        <v>not found</v>
      </c>
    </row>
    <row r="100" spans="1:14" ht="409.5" customHeight="1">
      <c r="A100" t="s">
        <v>174</v>
      </c>
      <c r="B100">
        <v>2</v>
      </c>
      <c r="C100" t="s">
        <v>590</v>
      </c>
      <c r="D100" t="s">
        <v>594</v>
      </c>
      <c r="E100" t="s">
        <v>261</v>
      </c>
      <c r="F100" t="s">
        <v>595</v>
      </c>
      <c r="G100" t="s">
        <v>596</v>
      </c>
      <c r="H100">
        <v>0.75</v>
      </c>
      <c r="I100" t="s">
        <v>597</v>
      </c>
      <c r="J100" t="str">
        <f t="shared" si="1"/>
        <v>Recognized but unescalated concerns</v>
      </c>
      <c r="K100" t="e">
        <f>_xlfn.XLOOKUP(J100,#REF!,#REF!,"0",0,1)</f>
        <v>#REF!</v>
      </c>
      <c r="N100" t="str">
        <f>IFERROR(INDEX('Hoja 1 - Supabase Transcripts'!$A:$DN,MATCH(A100,'Hoja 1 - Supabase Transcripts'!$A:$A,0),MATCH("gap_segmentation_"&amp;E100,'Hoja 1 - Supabase Transcripts'!$2:$2,0)),"not found")</f>
        <v>not found</v>
      </c>
    </row>
    <row r="101" spans="1:14" ht="266" customHeight="1">
      <c r="A101" t="s">
        <v>170</v>
      </c>
      <c r="B101">
        <v>1</v>
      </c>
      <c r="C101" t="s">
        <v>598</v>
      </c>
      <c r="D101" t="s">
        <v>599</v>
      </c>
      <c r="E101" s="16" t="s">
        <v>266</v>
      </c>
      <c r="F101" t="s">
        <v>600</v>
      </c>
      <c r="G101" t="s">
        <v>601</v>
      </c>
      <c r="H101">
        <v>0.85</v>
      </c>
      <c r="I101" t="s">
        <v>289</v>
      </c>
      <c r="J101" t="str">
        <f t="shared" si="1"/>
        <v>Normalization of extreme conditions</v>
      </c>
      <c r="K101" t="e">
        <f>_xlfn.XLOOKUP(J101,#REF!,#REF!,"0",0,1)</f>
        <v>#REF!</v>
      </c>
      <c r="N101" t="str">
        <f>IFERROR(INDEX('Hoja 1 - Supabase Transcripts'!$A:$DN,MATCH(A101,'Hoja 1 - Supabase Transcripts'!$A:$A,0),MATCH("gap_segmentation_"&amp;E101,'Hoja 1 - Supabase Transcripts'!$2:$2,0)),"not found")</f>
        <v>not found</v>
      </c>
    </row>
    <row r="102" spans="1:14" ht="409.5" customHeight="1">
      <c r="A102" t="s">
        <v>231</v>
      </c>
      <c r="B102">
        <v>3</v>
      </c>
      <c r="C102" t="s">
        <v>602</v>
      </c>
      <c r="D102" t="s">
        <v>603</v>
      </c>
      <c r="E102" t="s">
        <v>313</v>
      </c>
      <c r="F102" t="s">
        <v>604</v>
      </c>
      <c r="G102" t="s">
        <v>605</v>
      </c>
      <c r="H102">
        <v>0.8</v>
      </c>
      <c r="I102" t="s">
        <v>289</v>
      </c>
      <c r="J102" t="str">
        <f t="shared" si="1"/>
        <v>Normalization of extreme conditions</v>
      </c>
      <c r="K102" t="e">
        <f>_xlfn.XLOOKUP(J102,#REF!,#REF!,"0",0,1)</f>
        <v>#REF!</v>
      </c>
      <c r="N102" t="str">
        <f>IFERROR(INDEX('Hoja 1 - Supabase Transcripts'!$A:$DN,MATCH(A102,'Hoja 1 - Supabase Transcripts'!$A:$A,0),MATCH("gap_segmentation_"&amp;E102,'Hoja 1 - Supabase Transcripts'!$2:$2,0)),"not found")</f>
        <v>not found</v>
      </c>
    </row>
    <row r="103" spans="1:14" ht="409.5" customHeight="1">
      <c r="A103" t="s">
        <v>231</v>
      </c>
      <c r="B103">
        <v>3</v>
      </c>
      <c r="C103" t="s">
        <v>602</v>
      </c>
      <c r="D103" t="s">
        <v>606</v>
      </c>
      <c r="E103" t="s">
        <v>429</v>
      </c>
      <c r="F103" t="s">
        <v>607</v>
      </c>
      <c r="G103" t="s">
        <v>608</v>
      </c>
      <c r="H103">
        <v>0.95</v>
      </c>
      <c r="I103" t="s">
        <v>285</v>
      </c>
      <c r="J103" t="str">
        <f t="shared" si="1"/>
        <v>Anticipated futility of voice</v>
      </c>
      <c r="K103" t="e">
        <f>_xlfn.XLOOKUP(J103,#REF!,#REF!,"0",0,1)</f>
        <v>#REF!</v>
      </c>
      <c r="N103" t="str">
        <f>IFERROR(INDEX('Hoja 1 - Supabase Transcripts'!$A:$DN,MATCH(A103,'Hoja 1 - Supabase Transcripts'!$A:$A,0),MATCH("gap_segmentation_"&amp;E103,'Hoja 1 - Supabase Transcripts'!$2:$2,0)),"not found")</f>
        <v>not found</v>
      </c>
    </row>
    <row r="104" spans="1:14" ht="409.5" customHeight="1">
      <c r="A104" t="s">
        <v>231</v>
      </c>
      <c r="B104">
        <v>3</v>
      </c>
      <c r="C104" t="s">
        <v>602</v>
      </c>
      <c r="D104" t="s">
        <v>609</v>
      </c>
      <c r="E104" t="s">
        <v>256</v>
      </c>
      <c r="F104" t="s">
        <v>610</v>
      </c>
      <c r="G104" t="s">
        <v>611</v>
      </c>
      <c r="H104">
        <v>0.95</v>
      </c>
      <c r="I104" t="s">
        <v>274</v>
      </c>
      <c r="J104" t="str">
        <f t="shared" si="1"/>
        <v>FAMILY_A_CONCERN_CONTENT</v>
      </c>
      <c r="K104"/>
      <c r="N104" t="str">
        <f>IFERROR(INDEX('Hoja 1 - Supabase Transcripts'!$A:$DN,MATCH(A104,'Hoja 1 - Supabase Transcripts'!$A:$A,0),MATCH("gap_segmentation_"&amp;E104,'Hoja 1 - Supabase Transcripts'!$2:$2,0)),"not found")</f>
        <v>not found</v>
      </c>
    </row>
    <row r="105" spans="1:14" ht="409.5" customHeight="1">
      <c r="A105" t="s">
        <v>231</v>
      </c>
      <c r="B105">
        <v>3</v>
      </c>
      <c r="C105" t="s">
        <v>602</v>
      </c>
      <c r="D105" t="s">
        <v>612</v>
      </c>
      <c r="E105" s="16" t="s">
        <v>256</v>
      </c>
      <c r="F105" t="s">
        <v>613</v>
      </c>
      <c r="G105" t="s">
        <v>614</v>
      </c>
      <c r="H105">
        <v>0.85</v>
      </c>
      <c r="I105" t="s">
        <v>285</v>
      </c>
      <c r="J105" t="str">
        <f t="shared" si="1"/>
        <v>Anticipated futility of voice</v>
      </c>
      <c r="K105" t="e">
        <f>_xlfn.XLOOKUP(J105,#REF!,#REF!,"0",0,1)</f>
        <v>#REF!</v>
      </c>
      <c r="N105" t="str">
        <f>IFERROR(INDEX('Hoja 1 - Supabase Transcripts'!$A:$DN,MATCH(A105,'Hoja 1 - Supabase Transcripts'!$A:$A,0),MATCH("gap_segmentation_"&amp;E105,'Hoja 1 - Supabase Transcripts'!$2:$2,0)),"not found")</f>
        <v>not found</v>
      </c>
    </row>
    <row r="106" spans="1:14" ht="409.5" customHeight="1">
      <c r="A106" t="s">
        <v>231</v>
      </c>
      <c r="B106">
        <v>3</v>
      </c>
      <c r="C106" t="s">
        <v>602</v>
      </c>
      <c r="D106" t="s">
        <v>615</v>
      </c>
      <c r="E106" s="16" t="s">
        <v>256</v>
      </c>
      <c r="F106" t="s">
        <v>616</v>
      </c>
      <c r="G106" t="s">
        <v>617</v>
      </c>
      <c r="H106">
        <v>0.95</v>
      </c>
      <c r="I106" t="s">
        <v>289</v>
      </c>
      <c r="J106" t="str">
        <f t="shared" si="1"/>
        <v>Normalization of extreme conditions</v>
      </c>
      <c r="K106" t="e">
        <f>_xlfn.XLOOKUP(J106,#REF!,#REF!,"0",0,1)</f>
        <v>#REF!</v>
      </c>
      <c r="N106" t="str">
        <f>IFERROR(INDEX('Hoja 1 - Supabase Transcripts'!$A:$DN,MATCH(A106,'Hoja 1 - Supabase Transcripts'!$A:$A,0),MATCH("gap_segmentation_"&amp;E106,'Hoja 1 - Supabase Transcripts'!$2:$2,0)),"not found")</f>
        <v>not found</v>
      </c>
    </row>
    <row r="107" spans="1:14" ht="409.5" customHeight="1">
      <c r="A107" t="s">
        <v>231</v>
      </c>
      <c r="B107">
        <v>3</v>
      </c>
      <c r="C107" t="s">
        <v>602</v>
      </c>
      <c r="D107" t="s">
        <v>618</v>
      </c>
      <c r="E107" s="16" t="s">
        <v>256</v>
      </c>
      <c r="F107" t="s">
        <v>619</v>
      </c>
      <c r="G107" t="s">
        <v>620</v>
      </c>
      <c r="H107">
        <v>0.9</v>
      </c>
      <c r="I107" t="s">
        <v>289</v>
      </c>
      <c r="J107" t="str">
        <f t="shared" si="1"/>
        <v>Normalization of extreme conditions</v>
      </c>
      <c r="K107" t="e">
        <f>_xlfn.XLOOKUP(J107,#REF!,#REF!,"0",0,1)</f>
        <v>#REF!</v>
      </c>
      <c r="N107" t="str">
        <f>IFERROR(INDEX('Hoja 1 - Supabase Transcripts'!$A:$DN,MATCH(A107,'Hoja 1 - Supabase Transcripts'!$A:$A,0),MATCH("gap_segmentation_"&amp;E107,'Hoja 1 - Supabase Transcripts'!$2:$2,0)),"not found")</f>
        <v>not found</v>
      </c>
    </row>
    <row r="108" spans="1:14" ht="409.5" customHeight="1">
      <c r="A108" t="s">
        <v>231</v>
      </c>
      <c r="B108">
        <v>3</v>
      </c>
      <c r="C108" t="s">
        <v>602</v>
      </c>
      <c r="D108" t="s">
        <v>621</v>
      </c>
      <c r="E108" s="16" t="s">
        <v>256</v>
      </c>
      <c r="F108" t="s">
        <v>622</v>
      </c>
      <c r="G108" t="s">
        <v>623</v>
      </c>
      <c r="H108">
        <v>0.8</v>
      </c>
      <c r="I108" t="s">
        <v>624</v>
      </c>
      <c r="J108" t="str">
        <f t="shared" si="1"/>
        <v>Anticipated futility of voice</v>
      </c>
      <c r="K108" t="e">
        <f>_xlfn.XLOOKUP(J108,#REF!,#REF!,"0",0,1)</f>
        <v>#REF!</v>
      </c>
      <c r="N108" t="str">
        <f>IFERROR(INDEX('Hoja 1 - Supabase Transcripts'!$A:$DN,MATCH(A108,'Hoja 1 - Supabase Transcripts'!$A:$A,0),MATCH("gap_segmentation_"&amp;E108,'Hoja 1 - Supabase Transcripts'!$2:$2,0)),"not found")</f>
        <v>not found</v>
      </c>
    </row>
    <row r="109" spans="1:14" ht="409.5" customHeight="1">
      <c r="A109" t="s">
        <v>231</v>
      </c>
      <c r="B109">
        <v>3</v>
      </c>
      <c r="C109" t="s">
        <v>602</v>
      </c>
      <c r="D109" t="s">
        <v>625</v>
      </c>
      <c r="E109" t="s">
        <v>261</v>
      </c>
      <c r="F109" t="s">
        <v>626</v>
      </c>
      <c r="G109" t="s">
        <v>627</v>
      </c>
      <c r="H109">
        <v>0.9</v>
      </c>
      <c r="I109" t="s">
        <v>264</v>
      </c>
      <c r="J109" t="str">
        <f t="shared" si="1"/>
        <v>Concern content - FAMILY A</v>
      </c>
      <c r="K109"/>
      <c r="N109" t="str">
        <f>IFERROR(INDEX('Hoja 1 - Supabase Transcripts'!$A:$DN,MATCH(A109,'Hoja 1 - Supabase Transcripts'!$A:$A,0),MATCH("gap_segmentation_"&amp;E109,'Hoja 1 - Supabase Transcripts'!$2:$2,0)),"not found")</f>
        <v>not found</v>
      </c>
    </row>
    <row r="110" spans="1:14" ht="409.5" customHeight="1">
      <c r="A110" t="s">
        <v>231</v>
      </c>
      <c r="B110">
        <v>3</v>
      </c>
      <c r="C110" t="s">
        <v>602</v>
      </c>
      <c r="D110" t="s">
        <v>628</v>
      </c>
      <c r="E110" t="s">
        <v>261</v>
      </c>
      <c r="F110" t="s">
        <v>629</v>
      </c>
      <c r="G110" t="s">
        <v>630</v>
      </c>
      <c r="H110">
        <v>0.85</v>
      </c>
      <c r="I110" t="s">
        <v>274</v>
      </c>
      <c r="J110" t="str">
        <f t="shared" si="1"/>
        <v>FAMILY_A_CONCERN_CONTENT</v>
      </c>
      <c r="K110"/>
      <c r="N110" t="str">
        <f>IFERROR(INDEX('Hoja 1 - Supabase Transcripts'!$A:$DN,MATCH(A110,'Hoja 1 - Supabase Transcripts'!$A:$A,0),MATCH("gap_segmentation_"&amp;E110,'Hoja 1 - Supabase Transcripts'!$2:$2,0)),"not found")</f>
        <v>not found</v>
      </c>
    </row>
    <row r="111" spans="1:14" ht="409.5" customHeight="1">
      <c r="A111" t="s">
        <v>231</v>
      </c>
      <c r="B111">
        <v>3</v>
      </c>
      <c r="C111" t="s">
        <v>602</v>
      </c>
      <c r="D111" t="s">
        <v>631</v>
      </c>
      <c r="E111" t="s">
        <v>261</v>
      </c>
      <c r="F111" t="s">
        <v>632</v>
      </c>
      <c r="G111" t="s">
        <v>633</v>
      </c>
      <c r="H111">
        <v>0.75</v>
      </c>
      <c r="I111" t="s">
        <v>264</v>
      </c>
      <c r="J111" t="str">
        <f t="shared" si="1"/>
        <v>Concern content - FAMILY A</v>
      </c>
      <c r="K111"/>
      <c r="N111" t="str">
        <f>IFERROR(INDEX('Hoja 1 - Supabase Transcripts'!$A:$DN,MATCH(A111,'Hoja 1 - Supabase Transcripts'!$A:$A,0),MATCH("gap_segmentation_"&amp;E111,'Hoja 1 - Supabase Transcripts'!$2:$2,0)),"not found")</f>
        <v>not found</v>
      </c>
    </row>
    <row r="112" spans="1:14" ht="409.5" customHeight="1">
      <c r="A112" t="s">
        <v>231</v>
      </c>
      <c r="B112">
        <v>3</v>
      </c>
      <c r="C112" t="s">
        <v>602</v>
      </c>
      <c r="D112" t="s">
        <v>634</v>
      </c>
      <c r="E112" t="s">
        <v>266</v>
      </c>
      <c r="F112" t="s">
        <v>635</v>
      </c>
      <c r="G112" t="s">
        <v>636</v>
      </c>
      <c r="H112">
        <v>0.9</v>
      </c>
      <c r="I112" t="s">
        <v>264</v>
      </c>
      <c r="J112" t="str">
        <f t="shared" si="1"/>
        <v>Concern content - FAMILY A</v>
      </c>
      <c r="K112"/>
      <c r="N112" t="str">
        <f>IFERROR(INDEX('Hoja 1 - Supabase Transcripts'!$A:$DN,MATCH(A112,'Hoja 1 - Supabase Transcripts'!$A:$A,0),MATCH("gap_segmentation_"&amp;E112,'Hoja 1 - Supabase Transcripts'!$2:$2,0)),"not found")</f>
        <v>not found</v>
      </c>
    </row>
    <row r="113" spans="1:14" ht="409.5" customHeight="1">
      <c r="A113" t="s">
        <v>231</v>
      </c>
      <c r="B113">
        <v>3</v>
      </c>
      <c r="C113" t="s">
        <v>602</v>
      </c>
      <c r="D113" t="s">
        <v>637</v>
      </c>
      <c r="E113" t="s">
        <v>266</v>
      </c>
      <c r="F113" t="s">
        <v>638</v>
      </c>
      <c r="G113" t="s">
        <v>639</v>
      </c>
      <c r="H113">
        <v>0.95</v>
      </c>
      <c r="I113" t="s">
        <v>264</v>
      </c>
      <c r="J113" t="str">
        <f t="shared" si="1"/>
        <v>Concern content - FAMILY A</v>
      </c>
      <c r="K113"/>
      <c r="N113" t="str">
        <f>IFERROR(INDEX('Hoja 1 - Supabase Transcripts'!$A:$DN,MATCH(A113,'Hoja 1 - Supabase Transcripts'!$A:$A,0),MATCH("gap_segmentation_"&amp;E113,'Hoja 1 - Supabase Transcripts'!$2:$2,0)),"not found")</f>
        <v>not found</v>
      </c>
    </row>
    <row r="114" spans="1:14" ht="409.5" customHeight="1">
      <c r="A114" t="s">
        <v>195</v>
      </c>
      <c r="B114">
        <v>3</v>
      </c>
      <c r="C114" t="s">
        <v>640</v>
      </c>
      <c r="D114" t="s">
        <v>641</v>
      </c>
      <c r="E114" t="s">
        <v>261</v>
      </c>
      <c r="F114" t="s">
        <v>642</v>
      </c>
      <c r="G114" t="s">
        <v>643</v>
      </c>
      <c r="H114">
        <v>0.75</v>
      </c>
      <c r="I114" t="s">
        <v>264</v>
      </c>
      <c r="J114" t="str">
        <f t="shared" si="1"/>
        <v>Concern content - FAMILY A</v>
      </c>
      <c r="K114"/>
      <c r="N114" t="str">
        <f>IFERROR(INDEX('Hoja 1 - Supabase Transcripts'!$A:$DN,MATCH(A114,'Hoja 1 - Supabase Transcripts'!$A:$A,0),MATCH("gap_segmentation_"&amp;E114,'Hoja 1 - Supabase Transcripts'!$2:$2,0)),"not found")</f>
        <v>not found</v>
      </c>
    </row>
    <row r="115" spans="1:14" ht="409.5" customHeight="1">
      <c r="A115" t="s">
        <v>195</v>
      </c>
      <c r="B115">
        <v>3</v>
      </c>
      <c r="C115" t="s">
        <v>640</v>
      </c>
      <c r="D115" t="s">
        <v>644</v>
      </c>
      <c r="E115" t="s">
        <v>261</v>
      </c>
      <c r="F115" t="s">
        <v>645</v>
      </c>
      <c r="G115" t="s">
        <v>646</v>
      </c>
      <c r="H115">
        <v>0.85</v>
      </c>
      <c r="I115" t="s">
        <v>274</v>
      </c>
      <c r="J115" t="str">
        <f t="shared" si="1"/>
        <v>FAMILY_A_CONCERN_CONTENT</v>
      </c>
      <c r="K115"/>
      <c r="N115" t="str">
        <f>IFERROR(INDEX('Hoja 1 - Supabase Transcripts'!$A:$DN,MATCH(A115,'Hoja 1 - Supabase Transcripts'!$A:$A,0),MATCH("gap_segmentation_"&amp;E115,'Hoja 1 - Supabase Transcripts'!$2:$2,0)),"not found")</f>
        <v>not found</v>
      </c>
    </row>
    <row r="116" spans="1:14" ht="409.5" customHeight="1">
      <c r="A116" t="s">
        <v>178</v>
      </c>
      <c r="B116">
        <v>2</v>
      </c>
      <c r="C116" t="s">
        <v>647</v>
      </c>
      <c r="D116" t="s">
        <v>648</v>
      </c>
      <c r="E116" t="s">
        <v>313</v>
      </c>
      <c r="F116" t="s">
        <v>649</v>
      </c>
      <c r="G116" t="s">
        <v>650</v>
      </c>
      <c r="H116">
        <v>0.8</v>
      </c>
      <c r="I116" t="s">
        <v>274</v>
      </c>
      <c r="J116" t="str">
        <f t="shared" si="1"/>
        <v>FAMILY_A_CONCERN_CONTENT</v>
      </c>
      <c r="K116"/>
      <c r="N116" t="str">
        <f>IFERROR(INDEX('Hoja 1 - Supabase Transcripts'!$A:$DN,MATCH(A116,'Hoja 1 - Supabase Transcripts'!$A:$A,0),MATCH("gap_segmentation_"&amp;E116,'Hoja 1 - Supabase Transcripts'!$2:$2,0)),"not found")</f>
        <v>not found</v>
      </c>
    </row>
    <row r="117" spans="1:14" ht="409.5" customHeight="1">
      <c r="A117" t="s">
        <v>178</v>
      </c>
      <c r="B117">
        <v>2</v>
      </c>
      <c r="C117" t="s">
        <v>647</v>
      </c>
      <c r="D117" t="s">
        <v>651</v>
      </c>
      <c r="E117" t="s">
        <v>313</v>
      </c>
      <c r="F117" t="s">
        <v>652</v>
      </c>
      <c r="G117" t="s">
        <v>653</v>
      </c>
      <c r="H117">
        <v>0.75</v>
      </c>
      <c r="I117" t="s">
        <v>326</v>
      </c>
      <c r="J117" t="str">
        <f t="shared" si="1"/>
        <v>Hedged, qualified disclosure</v>
      </c>
      <c r="K117" t="e">
        <f>_xlfn.XLOOKUP(J117,#REF!,#REF!,"0",0,1)</f>
        <v>#REF!</v>
      </c>
      <c r="N117" t="str">
        <f>IFERROR(INDEX('Hoja 1 - Supabase Transcripts'!$A:$DN,MATCH(A117,'Hoja 1 - Supabase Transcripts'!$A:$A,0),MATCH("gap_segmentation_"&amp;E117,'Hoja 1 - Supabase Transcripts'!$2:$2,0)),"not found")</f>
        <v>not found</v>
      </c>
    </row>
    <row r="118" spans="1:14" ht="409.5" customHeight="1">
      <c r="A118" t="s">
        <v>178</v>
      </c>
      <c r="B118">
        <v>2</v>
      </c>
      <c r="C118" t="s">
        <v>647</v>
      </c>
      <c r="D118" t="s">
        <v>654</v>
      </c>
      <c r="E118" t="s">
        <v>313</v>
      </c>
      <c r="F118" t="s">
        <v>655</v>
      </c>
      <c r="G118" t="s">
        <v>656</v>
      </c>
      <c r="H118">
        <v>0.85</v>
      </c>
      <c r="I118" t="s">
        <v>264</v>
      </c>
      <c r="J118" t="str">
        <f t="shared" si="1"/>
        <v>Concern content - FAMILY A</v>
      </c>
      <c r="K118"/>
      <c r="N118" t="str">
        <f>IFERROR(INDEX('Hoja 1 - Supabase Transcripts'!$A:$DN,MATCH(A118,'Hoja 1 - Supabase Transcripts'!$A:$A,0),MATCH("gap_segmentation_"&amp;E118,'Hoja 1 - Supabase Transcripts'!$2:$2,0)),"not found")</f>
        <v>not found</v>
      </c>
    </row>
    <row r="119" spans="1:14" ht="409.5" customHeight="1">
      <c r="A119" t="s">
        <v>214</v>
      </c>
      <c r="B119">
        <v>2</v>
      </c>
      <c r="C119" t="s">
        <v>657</v>
      </c>
      <c r="D119" t="s">
        <v>658</v>
      </c>
      <c r="E119" t="s">
        <v>313</v>
      </c>
      <c r="F119" t="s">
        <v>659</v>
      </c>
      <c r="G119" t="s">
        <v>660</v>
      </c>
      <c r="H119">
        <v>0.85</v>
      </c>
      <c r="I119" t="s">
        <v>293</v>
      </c>
      <c r="J119" t="str">
        <f t="shared" si="1"/>
        <v>Protective attribution shifting</v>
      </c>
      <c r="K119" t="e">
        <f>_xlfn.XLOOKUP(J119,#REF!,#REF!,"0",0,1)</f>
        <v>#REF!</v>
      </c>
      <c r="N119" t="str">
        <f>IFERROR(INDEX('Hoja 1 - Supabase Transcripts'!$A:$DN,MATCH(A119,'Hoja 1 - Supabase Transcripts'!$A:$A,0),MATCH("gap_segmentation_"&amp;E119,'Hoja 1 - Supabase Transcripts'!$2:$2,0)),"not found")</f>
        <v>not found</v>
      </c>
    </row>
    <row r="120" spans="1:14" ht="409.5" customHeight="1">
      <c r="A120" t="s">
        <v>214</v>
      </c>
      <c r="B120">
        <v>2</v>
      </c>
      <c r="C120" t="s">
        <v>657</v>
      </c>
      <c r="D120" t="s">
        <v>661</v>
      </c>
      <c r="E120" t="s">
        <v>429</v>
      </c>
      <c r="F120" t="s">
        <v>662</v>
      </c>
      <c r="G120" t="s">
        <v>663</v>
      </c>
      <c r="H120">
        <v>0.85</v>
      </c>
      <c r="I120" t="s">
        <v>264</v>
      </c>
      <c r="J120" t="str">
        <f t="shared" si="1"/>
        <v>Concern content - FAMILY A</v>
      </c>
      <c r="K120"/>
      <c r="N120" t="str">
        <f>IFERROR(INDEX('Hoja 1 - Supabase Transcripts'!$A:$DN,MATCH(A120,'Hoja 1 - Supabase Transcripts'!$A:$A,0),MATCH("gap_segmentation_"&amp;E120,'Hoja 1 - Supabase Transcripts'!$2:$2,0)),"not found")</f>
        <v>not found</v>
      </c>
    </row>
    <row r="121" spans="1:14" ht="409.5" customHeight="1">
      <c r="A121" t="s">
        <v>214</v>
      </c>
      <c r="B121">
        <v>2</v>
      </c>
      <c r="C121" t="s">
        <v>657</v>
      </c>
      <c r="D121" t="s">
        <v>664</v>
      </c>
      <c r="E121" s="16" t="s">
        <v>256</v>
      </c>
      <c r="F121" t="s">
        <v>665</v>
      </c>
      <c r="G121" t="s">
        <v>666</v>
      </c>
      <c r="H121">
        <v>0.9</v>
      </c>
      <c r="I121" t="s">
        <v>667</v>
      </c>
      <c r="J121" t="str">
        <f t="shared" si="1"/>
        <v>Recognized but unescalated concerns</v>
      </c>
      <c r="K121" t="e">
        <f>_xlfn.XLOOKUP(J121,#REF!,#REF!,"0",0,1)</f>
        <v>#REF!</v>
      </c>
      <c r="N121" t="str">
        <f>IFERROR(INDEX('Hoja 1 - Supabase Transcripts'!$A:$DN,MATCH(A121,'Hoja 1 - Supabase Transcripts'!$A:$A,0),MATCH("gap_segmentation_"&amp;E121,'Hoja 1 - Supabase Transcripts'!$2:$2,0)),"not found")</f>
        <v>not found</v>
      </c>
    </row>
    <row r="122" spans="1:14" ht="409.5" customHeight="1">
      <c r="A122" t="s">
        <v>214</v>
      </c>
      <c r="B122">
        <v>2</v>
      </c>
      <c r="C122" t="s">
        <v>657</v>
      </c>
      <c r="D122" t="s">
        <v>668</v>
      </c>
      <c r="E122" s="16" t="s">
        <v>256</v>
      </c>
      <c r="F122" t="s">
        <v>669</v>
      </c>
      <c r="G122" t="s">
        <v>670</v>
      </c>
      <c r="H122">
        <v>0.95</v>
      </c>
      <c r="I122" t="s">
        <v>281</v>
      </c>
      <c r="J122" t="str">
        <f t="shared" si="1"/>
        <v>Aspirational framing of unmet needs</v>
      </c>
      <c r="K122" t="e">
        <f>_xlfn.XLOOKUP(J122,#REF!,#REF!,"0",0,1)</f>
        <v>#REF!</v>
      </c>
      <c r="N122" t="str">
        <f>IFERROR(INDEX('Hoja 1 - Supabase Transcripts'!$A:$DN,MATCH(A122,'Hoja 1 - Supabase Transcripts'!$A:$A,0),MATCH("gap_segmentation_"&amp;E122,'Hoja 1 - Supabase Transcripts'!$2:$2,0)),"not found")</f>
        <v>not found</v>
      </c>
    </row>
    <row r="123" spans="1:14" ht="409.5" customHeight="1">
      <c r="A123" t="s">
        <v>214</v>
      </c>
      <c r="B123">
        <v>2</v>
      </c>
      <c r="C123" t="s">
        <v>657</v>
      </c>
      <c r="D123" t="s">
        <v>671</v>
      </c>
      <c r="E123" t="s">
        <v>261</v>
      </c>
      <c r="F123" t="s">
        <v>672</v>
      </c>
      <c r="G123" t="s">
        <v>673</v>
      </c>
      <c r="H123">
        <v>0.85</v>
      </c>
      <c r="I123" t="s">
        <v>310</v>
      </c>
      <c r="J123" t="str">
        <f t="shared" si="1"/>
        <v>Hedged, qualified disclosure</v>
      </c>
      <c r="K123" t="e">
        <f>_xlfn.XLOOKUP(J123,#REF!,#REF!,"0",0,1)</f>
        <v>#REF!</v>
      </c>
      <c r="N123" t="str">
        <f>IFERROR(INDEX('Hoja 1 - Supabase Transcripts'!$A:$DN,MATCH(A123,'Hoja 1 - Supabase Transcripts'!$A:$A,0),MATCH("gap_segmentation_"&amp;E123,'Hoja 1 - Supabase Transcripts'!$2:$2,0)),"not found")</f>
        <v>not found</v>
      </c>
    </row>
    <row r="124" spans="1:14" ht="409.5" customHeight="1">
      <c r="A124" t="s">
        <v>214</v>
      </c>
      <c r="B124">
        <v>2</v>
      </c>
      <c r="C124" t="s">
        <v>657</v>
      </c>
      <c r="D124" t="s">
        <v>674</v>
      </c>
      <c r="E124" t="s">
        <v>261</v>
      </c>
      <c r="F124" t="s">
        <v>675</v>
      </c>
      <c r="G124" t="s">
        <v>676</v>
      </c>
      <c r="H124">
        <v>0.75</v>
      </c>
      <c r="I124" t="s">
        <v>264</v>
      </c>
      <c r="J124" t="str">
        <f t="shared" si="1"/>
        <v>Concern content - FAMILY A</v>
      </c>
      <c r="K124"/>
      <c r="N124" t="str">
        <f>IFERROR(INDEX('Hoja 1 - Supabase Transcripts'!$A:$DN,MATCH(A124,'Hoja 1 - Supabase Transcripts'!$A:$A,0),MATCH("gap_segmentation_"&amp;E124,'Hoja 1 - Supabase Transcripts'!$2:$2,0)),"not found")</f>
        <v>not found</v>
      </c>
    </row>
    <row r="125" spans="1:14" ht="409.5" customHeight="1">
      <c r="A125" t="s">
        <v>214</v>
      </c>
      <c r="B125">
        <v>2</v>
      </c>
      <c r="C125" t="s">
        <v>657</v>
      </c>
      <c r="D125" t="s">
        <v>677</v>
      </c>
      <c r="E125" t="s">
        <v>261</v>
      </c>
      <c r="F125" t="s">
        <v>678</v>
      </c>
      <c r="G125" t="s">
        <v>679</v>
      </c>
      <c r="H125">
        <v>0.95</v>
      </c>
      <c r="I125" t="s">
        <v>264</v>
      </c>
      <c r="J125" t="str">
        <f t="shared" si="1"/>
        <v>Concern content - FAMILY A</v>
      </c>
      <c r="K125"/>
      <c r="N125" t="str">
        <f>IFERROR(INDEX('Hoja 1 - Supabase Transcripts'!$A:$DN,MATCH(A125,'Hoja 1 - Supabase Transcripts'!$A:$A,0),MATCH("gap_segmentation_"&amp;E125,'Hoja 1 - Supabase Transcripts'!$2:$2,0)),"not found")</f>
        <v>not found</v>
      </c>
    </row>
    <row r="126" spans="1:14" ht="409.5" customHeight="1">
      <c r="A126" t="s">
        <v>214</v>
      </c>
      <c r="B126">
        <v>2</v>
      </c>
      <c r="C126" t="s">
        <v>657</v>
      </c>
      <c r="D126" t="s">
        <v>680</v>
      </c>
      <c r="E126" s="16" t="s">
        <v>266</v>
      </c>
      <c r="F126" t="s">
        <v>681</v>
      </c>
      <c r="G126" t="s">
        <v>682</v>
      </c>
      <c r="H126">
        <v>0.9</v>
      </c>
      <c r="I126" t="s">
        <v>310</v>
      </c>
      <c r="J126" t="str">
        <f t="shared" si="1"/>
        <v>Hedged, qualified disclosure</v>
      </c>
      <c r="K126" t="e">
        <f>_xlfn.XLOOKUP(J126,#REF!,#REF!,"0",0,1)</f>
        <v>#REF!</v>
      </c>
      <c r="N126" t="str">
        <f>IFERROR(INDEX('Hoja 1 - Supabase Transcripts'!$A:$DN,MATCH(A126,'Hoja 1 - Supabase Transcripts'!$A:$A,0),MATCH("gap_segmentation_"&amp;E126,'Hoja 1 - Supabase Transcripts'!$2:$2,0)),"not found")</f>
        <v>not found</v>
      </c>
    </row>
    <row r="127" spans="1:14" ht="409.5" customHeight="1">
      <c r="A127" t="s">
        <v>223</v>
      </c>
      <c r="B127">
        <v>2</v>
      </c>
      <c r="C127" t="s">
        <v>683</v>
      </c>
      <c r="D127" t="s">
        <v>684</v>
      </c>
      <c r="E127" t="s">
        <v>313</v>
      </c>
      <c r="F127" t="s">
        <v>685</v>
      </c>
      <c r="G127" t="s">
        <v>686</v>
      </c>
      <c r="H127">
        <v>0.8</v>
      </c>
      <c r="I127" t="s">
        <v>264</v>
      </c>
      <c r="J127" t="str">
        <f t="shared" si="1"/>
        <v>Concern content - FAMILY A</v>
      </c>
      <c r="K127"/>
      <c r="N127" t="str">
        <f>IFERROR(INDEX('Hoja 1 - Supabase Transcripts'!$A:$DN,MATCH(A127,'Hoja 1 - Supabase Transcripts'!$A:$A,0),MATCH("gap_segmentation_"&amp;E127,'Hoja 1 - Supabase Transcripts'!$2:$2,0)),"not found")</f>
        <v>not found</v>
      </c>
    </row>
    <row r="128" spans="1:14" ht="409.5" customHeight="1">
      <c r="A128" t="s">
        <v>223</v>
      </c>
      <c r="B128">
        <v>2</v>
      </c>
      <c r="C128" t="s">
        <v>683</v>
      </c>
      <c r="D128" t="s">
        <v>687</v>
      </c>
      <c r="E128" t="s">
        <v>261</v>
      </c>
      <c r="F128" t="s">
        <v>688</v>
      </c>
      <c r="G128" t="s">
        <v>689</v>
      </c>
      <c r="H128">
        <v>0.95</v>
      </c>
      <c r="I128" t="s">
        <v>264</v>
      </c>
      <c r="J128" t="str">
        <f t="shared" si="1"/>
        <v>Concern content - FAMILY A</v>
      </c>
      <c r="K128"/>
      <c r="N128" t="str">
        <f>IFERROR(INDEX('Hoja 1 - Supabase Transcripts'!$A:$DN,MATCH(A128,'Hoja 1 - Supabase Transcripts'!$A:$A,0),MATCH("gap_segmentation_"&amp;E128,'Hoja 1 - Supabase Transcripts'!$2:$2,0)),"not found")</f>
        <v>not found</v>
      </c>
    </row>
    <row r="129" spans="1:14" ht="409.5" customHeight="1">
      <c r="A129" t="s">
        <v>223</v>
      </c>
      <c r="B129">
        <v>2</v>
      </c>
      <c r="C129" t="s">
        <v>683</v>
      </c>
      <c r="D129" t="s">
        <v>690</v>
      </c>
      <c r="E129" t="s">
        <v>261</v>
      </c>
      <c r="F129" t="s">
        <v>691</v>
      </c>
      <c r="G129" t="s">
        <v>692</v>
      </c>
      <c r="H129">
        <v>0.85</v>
      </c>
      <c r="I129" t="s">
        <v>264</v>
      </c>
      <c r="J129" t="str">
        <f t="shared" si="1"/>
        <v>Concern content - FAMILY A</v>
      </c>
      <c r="K129"/>
      <c r="N129" t="str">
        <f>IFERROR(INDEX('Hoja 1 - Supabase Transcripts'!$A:$DN,MATCH(A129,'Hoja 1 - Supabase Transcripts'!$A:$A,0),MATCH("gap_segmentation_"&amp;E129,'Hoja 1 - Supabase Transcripts'!$2:$2,0)),"not found")</f>
        <v>not found</v>
      </c>
    </row>
    <row r="130" spans="1:14" ht="409.5" customHeight="1">
      <c r="A130" t="s">
        <v>223</v>
      </c>
      <c r="B130">
        <v>2</v>
      </c>
      <c r="C130" t="s">
        <v>683</v>
      </c>
      <c r="D130" t="s">
        <v>693</v>
      </c>
      <c r="E130" s="16" t="s">
        <v>266</v>
      </c>
      <c r="F130" t="s">
        <v>694</v>
      </c>
      <c r="G130" t="s">
        <v>695</v>
      </c>
      <c r="H130">
        <v>0.9</v>
      </c>
      <c r="I130" t="s">
        <v>415</v>
      </c>
      <c r="J130" t="str">
        <f t="shared" ref="J130:J193" si="2">IF(OR(I130="Epistemic hedging",I130="Qualifying severity while disclosing",I130="Downgrading emotional intensity"),"Hedged, qualified disclosure",IF(OR(I130="Externalizing accountability",I130="Self-attributing structural problems"),"Protective attribution shifting",IF(OR(I130="Refusal to elaborate under probing",I130="Retracting or qualifying disclosure"),"Withholding under probing",IF(OR(I130="Managing traceability and exposure",I130="Compartmentalizing the AI channel"),"Channel exposure management",IF(OR(I130="Skepticism toward remedy",I130="Anticipating dismissal or misrecognition"),"Anticipated futility of voice",IF(OR(I130="Calling out known but unaddressed issues",I130="Silence within expression"),"Recognized but unescalated concerns",I130))))))</f>
        <v>Withholding under probing</v>
      </c>
      <c r="K130" t="e">
        <f>_xlfn.XLOOKUP(J130,#REF!,#REF!,"0",0,1)</f>
        <v>#REF!</v>
      </c>
      <c r="N130" t="str">
        <f>IFERROR(INDEX('Hoja 1 - Supabase Transcripts'!$A:$DN,MATCH(A130,'Hoja 1 - Supabase Transcripts'!$A:$A,0),MATCH("gap_segmentation_"&amp;E130,'Hoja 1 - Supabase Transcripts'!$2:$2,0)),"not found")</f>
        <v>not found</v>
      </c>
    </row>
    <row r="131" spans="1:14" ht="409.5" customHeight="1">
      <c r="A131" t="s">
        <v>223</v>
      </c>
      <c r="B131">
        <v>2</v>
      </c>
      <c r="C131" t="s">
        <v>683</v>
      </c>
      <c r="D131" t="s">
        <v>696</v>
      </c>
      <c r="E131" s="16" t="s">
        <v>266</v>
      </c>
      <c r="F131" t="s">
        <v>697</v>
      </c>
      <c r="G131" t="s">
        <v>698</v>
      </c>
      <c r="H131">
        <v>0.95</v>
      </c>
      <c r="I131" t="s">
        <v>281</v>
      </c>
      <c r="J131" t="str">
        <f t="shared" si="2"/>
        <v>Aspirational framing of unmet needs</v>
      </c>
      <c r="K131" t="e">
        <f>_xlfn.XLOOKUP(J131,#REF!,#REF!,"0",0,1)</f>
        <v>#REF!</v>
      </c>
      <c r="N131" t="str">
        <f>IFERROR(INDEX('Hoja 1 - Supabase Transcripts'!$A:$DN,MATCH(A131,'Hoja 1 - Supabase Transcripts'!$A:$A,0),MATCH("gap_segmentation_"&amp;E131,'Hoja 1 - Supabase Transcripts'!$2:$2,0)),"not found")</f>
        <v>not found</v>
      </c>
    </row>
    <row r="132" spans="1:14" ht="409.5" customHeight="1">
      <c r="A132" t="s">
        <v>223</v>
      </c>
      <c r="B132">
        <v>2</v>
      </c>
      <c r="C132" t="s">
        <v>683</v>
      </c>
      <c r="D132" t="s">
        <v>699</v>
      </c>
      <c r="E132" s="16" t="s">
        <v>266</v>
      </c>
      <c r="F132" t="s">
        <v>700</v>
      </c>
      <c r="G132" t="s">
        <v>701</v>
      </c>
      <c r="H132">
        <v>0.9</v>
      </c>
      <c r="I132" t="s">
        <v>281</v>
      </c>
      <c r="J132" t="str">
        <f t="shared" si="2"/>
        <v>Aspirational framing of unmet needs</v>
      </c>
      <c r="K132" t="e">
        <f>_xlfn.XLOOKUP(J132,#REF!,#REF!,"0",0,1)</f>
        <v>#REF!</v>
      </c>
      <c r="N132" t="str">
        <f>IFERROR(INDEX('Hoja 1 - Supabase Transcripts'!$A:$DN,MATCH(A132,'Hoja 1 - Supabase Transcripts'!$A:$A,0),MATCH("gap_segmentation_"&amp;E132,'Hoja 1 - Supabase Transcripts'!$2:$2,0)),"not found")</f>
        <v>not found</v>
      </c>
    </row>
    <row r="133" spans="1:14" ht="409.5" customHeight="1">
      <c r="A133" t="s">
        <v>223</v>
      </c>
      <c r="B133">
        <v>2</v>
      </c>
      <c r="C133" t="s">
        <v>683</v>
      </c>
      <c r="D133" t="s">
        <v>702</v>
      </c>
      <c r="E133" s="16" t="s">
        <v>266</v>
      </c>
      <c r="F133" t="s">
        <v>703</v>
      </c>
      <c r="G133" t="s">
        <v>704</v>
      </c>
      <c r="H133">
        <v>0.95</v>
      </c>
      <c r="I133" t="s">
        <v>285</v>
      </c>
      <c r="J133" t="str">
        <f t="shared" si="2"/>
        <v>Anticipated futility of voice</v>
      </c>
      <c r="K133" t="e">
        <f>_xlfn.XLOOKUP(J133,#REF!,#REF!,"0",0,1)</f>
        <v>#REF!</v>
      </c>
      <c r="N133" t="str">
        <f>IFERROR(INDEX('Hoja 1 - Supabase Transcripts'!$A:$DN,MATCH(A133,'Hoja 1 - Supabase Transcripts'!$A:$A,0),MATCH("gap_segmentation_"&amp;E133,'Hoja 1 - Supabase Transcripts'!$2:$2,0)),"not found")</f>
        <v>not found</v>
      </c>
    </row>
    <row r="134" spans="1:14" ht="409.5" customHeight="1">
      <c r="A134" t="s">
        <v>223</v>
      </c>
      <c r="B134">
        <v>2</v>
      </c>
      <c r="C134" t="s">
        <v>683</v>
      </c>
      <c r="D134" t="s">
        <v>705</v>
      </c>
      <c r="E134" t="s">
        <v>266</v>
      </c>
      <c r="F134" t="s">
        <v>706</v>
      </c>
      <c r="G134" t="s">
        <v>707</v>
      </c>
      <c r="H134">
        <v>1</v>
      </c>
      <c r="I134" t="s">
        <v>264</v>
      </c>
      <c r="J134" t="str">
        <f t="shared" si="2"/>
        <v>Concern content - FAMILY A</v>
      </c>
      <c r="K134"/>
      <c r="N134" t="str">
        <f>IFERROR(INDEX('Hoja 1 - Supabase Transcripts'!$A:$DN,MATCH(A134,'Hoja 1 - Supabase Transcripts'!$A:$A,0),MATCH("gap_segmentation_"&amp;E134,'Hoja 1 - Supabase Transcripts'!$2:$2,0)),"not found")</f>
        <v>not found</v>
      </c>
    </row>
    <row r="135" spans="1:14" ht="409.5" customHeight="1">
      <c r="A135" t="s">
        <v>218</v>
      </c>
      <c r="B135">
        <v>3</v>
      </c>
      <c r="C135" t="s">
        <v>708</v>
      </c>
      <c r="D135" t="s">
        <v>709</v>
      </c>
      <c r="E135" s="16" t="s">
        <v>256</v>
      </c>
      <c r="F135" t="s">
        <v>710</v>
      </c>
      <c r="G135" t="s">
        <v>711</v>
      </c>
      <c r="H135">
        <v>0.8</v>
      </c>
      <c r="I135" t="s">
        <v>435</v>
      </c>
      <c r="J135" t="str">
        <f t="shared" si="2"/>
        <v>Disclaiming assessment capacity</v>
      </c>
      <c r="K135" t="e">
        <f>_xlfn.XLOOKUP(J135,#REF!,#REF!,"0",0,1)</f>
        <v>#REF!</v>
      </c>
      <c r="N135" t="str">
        <f>IFERROR(INDEX('Hoja 1 - Supabase Transcripts'!$A:$DN,MATCH(A135,'Hoja 1 - Supabase Transcripts'!$A:$A,0),MATCH("gap_segmentation_"&amp;E135,'Hoja 1 - Supabase Transcripts'!$2:$2,0)),"not found")</f>
        <v>not found</v>
      </c>
    </row>
    <row r="136" spans="1:14" ht="409.5" customHeight="1">
      <c r="A136" t="s">
        <v>218</v>
      </c>
      <c r="B136">
        <v>3</v>
      </c>
      <c r="C136" t="s">
        <v>708</v>
      </c>
      <c r="D136" t="s">
        <v>712</v>
      </c>
      <c r="E136" t="s">
        <v>261</v>
      </c>
      <c r="F136" t="s">
        <v>713</v>
      </c>
      <c r="G136" t="s">
        <v>714</v>
      </c>
      <c r="H136">
        <v>0.95</v>
      </c>
      <c r="I136" t="s">
        <v>264</v>
      </c>
      <c r="J136" t="str">
        <f t="shared" si="2"/>
        <v>Concern content - FAMILY A</v>
      </c>
      <c r="K136"/>
      <c r="N136" t="str">
        <f>IFERROR(INDEX('Hoja 1 - Supabase Transcripts'!$A:$DN,MATCH(A136,'Hoja 1 - Supabase Transcripts'!$A:$A,0),MATCH("gap_segmentation_"&amp;E136,'Hoja 1 - Supabase Transcripts'!$2:$2,0)),"not found")</f>
        <v>not found</v>
      </c>
    </row>
    <row r="137" spans="1:14" ht="409.5" customHeight="1">
      <c r="A137" t="s">
        <v>218</v>
      </c>
      <c r="B137">
        <v>3</v>
      </c>
      <c r="C137" t="s">
        <v>708</v>
      </c>
      <c r="D137" t="s">
        <v>715</v>
      </c>
      <c r="E137" t="s">
        <v>261</v>
      </c>
      <c r="F137" t="s">
        <v>716</v>
      </c>
      <c r="G137" t="s">
        <v>717</v>
      </c>
      <c r="H137">
        <v>0.9</v>
      </c>
      <c r="I137" t="s">
        <v>274</v>
      </c>
      <c r="J137" t="str">
        <f t="shared" si="2"/>
        <v>FAMILY_A_CONCERN_CONTENT</v>
      </c>
      <c r="K137"/>
      <c r="N137" t="str">
        <f>IFERROR(INDEX('Hoja 1 - Supabase Transcripts'!$A:$DN,MATCH(A137,'Hoja 1 - Supabase Transcripts'!$A:$A,0),MATCH("gap_segmentation_"&amp;E137,'Hoja 1 - Supabase Transcripts'!$2:$2,0)),"not found")</f>
        <v>not found</v>
      </c>
    </row>
    <row r="138" spans="1:14" ht="409.5" customHeight="1">
      <c r="A138" t="s">
        <v>218</v>
      </c>
      <c r="B138">
        <v>3</v>
      </c>
      <c r="C138" t="s">
        <v>708</v>
      </c>
      <c r="D138" t="s">
        <v>718</v>
      </c>
      <c r="E138" s="16" t="s">
        <v>266</v>
      </c>
      <c r="F138" t="s">
        <v>719</v>
      </c>
      <c r="G138" t="s">
        <v>720</v>
      </c>
      <c r="H138">
        <v>0.85</v>
      </c>
      <c r="I138" t="s">
        <v>289</v>
      </c>
      <c r="J138" t="str">
        <f t="shared" si="2"/>
        <v>Normalization of extreme conditions</v>
      </c>
      <c r="K138" t="e">
        <f>_xlfn.XLOOKUP(J138,#REF!,#REF!,"0",0,1)</f>
        <v>#REF!</v>
      </c>
      <c r="N138" t="str">
        <f>IFERROR(INDEX('Hoja 1 - Supabase Transcripts'!$A:$DN,MATCH(A138,'Hoja 1 - Supabase Transcripts'!$A:$A,0),MATCH("gap_segmentation_"&amp;E138,'Hoja 1 - Supabase Transcripts'!$2:$2,0)),"not found")</f>
        <v>not found</v>
      </c>
    </row>
    <row r="139" spans="1:14" ht="409.5" customHeight="1">
      <c r="A139" t="s">
        <v>166</v>
      </c>
      <c r="B139">
        <v>1</v>
      </c>
      <c r="C139" t="s">
        <v>721</v>
      </c>
      <c r="D139" t="s">
        <v>722</v>
      </c>
      <c r="E139" t="s">
        <v>313</v>
      </c>
      <c r="F139" t="s">
        <v>723</v>
      </c>
      <c r="G139" t="s">
        <v>724</v>
      </c>
      <c r="H139">
        <v>0.9</v>
      </c>
      <c r="I139" t="s">
        <v>264</v>
      </c>
      <c r="J139" t="str">
        <f t="shared" si="2"/>
        <v>Concern content - FAMILY A</v>
      </c>
      <c r="K139"/>
      <c r="N139" t="str">
        <f>IFERROR(INDEX('Hoja 1 - Supabase Transcripts'!$A:$DN,MATCH(A139,'Hoja 1 - Supabase Transcripts'!$A:$A,0),MATCH("gap_segmentation_"&amp;E139,'Hoja 1 - Supabase Transcripts'!$2:$2,0)),"not found")</f>
        <v>not found</v>
      </c>
    </row>
    <row r="140" spans="1:14" ht="409.5" customHeight="1">
      <c r="A140" t="s">
        <v>166</v>
      </c>
      <c r="B140">
        <v>1</v>
      </c>
      <c r="C140" t="s">
        <v>721</v>
      </c>
      <c r="D140" t="s">
        <v>725</v>
      </c>
      <c r="E140" t="s">
        <v>313</v>
      </c>
      <c r="F140" t="s">
        <v>726</v>
      </c>
      <c r="G140" t="s">
        <v>727</v>
      </c>
      <c r="H140">
        <v>0.85</v>
      </c>
      <c r="I140" t="s">
        <v>281</v>
      </c>
      <c r="J140" t="str">
        <f t="shared" si="2"/>
        <v>Aspirational framing of unmet needs</v>
      </c>
      <c r="K140" t="e">
        <f>_xlfn.XLOOKUP(J140,#REF!,#REF!,"0",0,1)</f>
        <v>#REF!</v>
      </c>
      <c r="N140" t="str">
        <f>IFERROR(INDEX('Hoja 1 - Supabase Transcripts'!$A:$DN,MATCH(A140,'Hoja 1 - Supabase Transcripts'!$A:$A,0),MATCH("gap_segmentation_"&amp;E140,'Hoja 1 - Supabase Transcripts'!$2:$2,0)),"not found")</f>
        <v>not found</v>
      </c>
    </row>
    <row r="141" spans="1:14" ht="409.5" customHeight="1">
      <c r="A141" t="s">
        <v>166</v>
      </c>
      <c r="B141">
        <v>1</v>
      </c>
      <c r="C141" t="s">
        <v>721</v>
      </c>
      <c r="D141" t="s">
        <v>728</v>
      </c>
      <c r="E141" t="s">
        <v>313</v>
      </c>
      <c r="F141" t="s">
        <v>729</v>
      </c>
      <c r="G141" t="s">
        <v>730</v>
      </c>
      <c r="H141">
        <v>0.8</v>
      </c>
      <c r="I141" t="s">
        <v>264</v>
      </c>
      <c r="J141" t="str">
        <f t="shared" si="2"/>
        <v>Concern content - FAMILY A</v>
      </c>
      <c r="K141"/>
      <c r="N141" t="str">
        <f>IFERROR(INDEX('Hoja 1 - Supabase Transcripts'!$A:$DN,MATCH(A141,'Hoja 1 - Supabase Transcripts'!$A:$A,0),MATCH("gap_segmentation_"&amp;E141,'Hoja 1 - Supabase Transcripts'!$2:$2,0)),"not found")</f>
        <v>not found</v>
      </c>
    </row>
    <row r="142" spans="1:14" ht="409.5" customHeight="1">
      <c r="A142" t="s">
        <v>166</v>
      </c>
      <c r="B142">
        <v>1</v>
      </c>
      <c r="C142" t="s">
        <v>721</v>
      </c>
      <c r="D142" t="s">
        <v>731</v>
      </c>
      <c r="E142" s="16" t="s">
        <v>256</v>
      </c>
      <c r="F142" t="s">
        <v>732</v>
      </c>
      <c r="G142" t="s">
        <v>733</v>
      </c>
      <c r="H142">
        <v>0.75</v>
      </c>
      <c r="I142" t="s">
        <v>259</v>
      </c>
      <c r="J142" t="str">
        <f t="shared" si="2"/>
        <v>Rationalizing leadership absence</v>
      </c>
      <c r="K142" t="e">
        <f>_xlfn.XLOOKUP(J142,#REF!,#REF!,"0",0,1)</f>
        <v>#REF!</v>
      </c>
      <c r="N142" t="str">
        <f>IFERROR(INDEX('Hoja 1 - Supabase Transcripts'!$A:$DN,MATCH(A142,'Hoja 1 - Supabase Transcripts'!$A:$A,0),MATCH("gap_segmentation_"&amp;E142,'Hoja 1 - Supabase Transcripts'!$2:$2,0)),"not found")</f>
        <v>not found</v>
      </c>
    </row>
    <row r="143" spans="1:14" ht="409.5" customHeight="1">
      <c r="A143" t="s">
        <v>166</v>
      </c>
      <c r="B143">
        <v>1</v>
      </c>
      <c r="C143" t="s">
        <v>721</v>
      </c>
      <c r="D143" t="s">
        <v>734</v>
      </c>
      <c r="E143" t="s">
        <v>261</v>
      </c>
      <c r="F143" t="s">
        <v>735</v>
      </c>
      <c r="G143" t="s">
        <v>736</v>
      </c>
      <c r="H143">
        <v>0.85</v>
      </c>
      <c r="I143" t="s">
        <v>264</v>
      </c>
      <c r="J143" t="str">
        <f t="shared" si="2"/>
        <v>Concern content - FAMILY A</v>
      </c>
      <c r="K143"/>
      <c r="N143" t="str">
        <f>IFERROR(INDEX('Hoja 1 - Supabase Transcripts'!$A:$DN,MATCH(A143,'Hoja 1 - Supabase Transcripts'!$A:$A,0),MATCH("gap_segmentation_"&amp;E143,'Hoja 1 - Supabase Transcripts'!$2:$2,0)),"not found")</f>
        <v>not found</v>
      </c>
    </row>
    <row r="144" spans="1:14" ht="409.5" customHeight="1">
      <c r="A144" t="s">
        <v>199</v>
      </c>
      <c r="B144">
        <v>1</v>
      </c>
      <c r="C144" t="s">
        <v>737</v>
      </c>
      <c r="D144" t="s">
        <v>738</v>
      </c>
      <c r="E144" t="s">
        <v>261</v>
      </c>
      <c r="F144" t="s">
        <v>739</v>
      </c>
      <c r="G144" t="s">
        <v>740</v>
      </c>
      <c r="H144">
        <v>0.9</v>
      </c>
      <c r="I144" t="s">
        <v>293</v>
      </c>
      <c r="J144" t="str">
        <f t="shared" si="2"/>
        <v>Protective attribution shifting</v>
      </c>
      <c r="K144" t="e">
        <f>_xlfn.XLOOKUP(J144,#REF!,#REF!,"0",0,1)</f>
        <v>#REF!</v>
      </c>
      <c r="N144" t="str">
        <f>IFERROR(INDEX('Hoja 1 - Supabase Transcripts'!$A:$DN,MATCH(A144,'Hoja 1 - Supabase Transcripts'!$A:$A,0),MATCH("gap_segmentation_"&amp;E144,'Hoja 1 - Supabase Transcripts'!$2:$2,0)),"not found")</f>
        <v>not found</v>
      </c>
    </row>
    <row r="145" spans="1:14" ht="409.5" customHeight="1">
      <c r="A145" t="s">
        <v>199</v>
      </c>
      <c r="B145">
        <v>1</v>
      </c>
      <c r="C145" t="s">
        <v>737</v>
      </c>
      <c r="D145" t="s">
        <v>741</v>
      </c>
      <c r="E145" t="s">
        <v>261</v>
      </c>
      <c r="F145" t="s">
        <v>742</v>
      </c>
      <c r="G145" t="s">
        <v>743</v>
      </c>
      <c r="H145">
        <v>0.85</v>
      </c>
      <c r="I145" t="s">
        <v>326</v>
      </c>
      <c r="J145" t="str">
        <f t="shared" si="2"/>
        <v>Hedged, qualified disclosure</v>
      </c>
      <c r="K145" t="e">
        <f>_xlfn.XLOOKUP(J145,#REF!,#REF!,"0",0,1)</f>
        <v>#REF!</v>
      </c>
      <c r="N145" t="str">
        <f>IFERROR(INDEX('Hoja 1 - Supabase Transcripts'!$A:$DN,MATCH(A145,'Hoja 1 - Supabase Transcripts'!$A:$A,0),MATCH("gap_segmentation_"&amp;E145,'Hoja 1 - Supabase Transcripts'!$2:$2,0)),"not found")</f>
        <v>not found</v>
      </c>
    </row>
    <row r="146" spans="1:14" ht="409.5" customHeight="1">
      <c r="A146" t="s">
        <v>199</v>
      </c>
      <c r="B146">
        <v>1</v>
      </c>
      <c r="C146" t="s">
        <v>737</v>
      </c>
      <c r="D146" t="s">
        <v>744</v>
      </c>
      <c r="E146" t="s">
        <v>261</v>
      </c>
      <c r="F146" t="s">
        <v>745</v>
      </c>
      <c r="G146" t="s">
        <v>746</v>
      </c>
      <c r="H146">
        <v>1</v>
      </c>
      <c r="I146" t="s">
        <v>264</v>
      </c>
      <c r="J146" t="str">
        <f t="shared" si="2"/>
        <v>Concern content - FAMILY A</v>
      </c>
      <c r="K146"/>
      <c r="N146" t="str">
        <f>IFERROR(INDEX('Hoja 1 - Supabase Transcripts'!$A:$DN,MATCH(A146,'Hoja 1 - Supabase Transcripts'!$A:$A,0),MATCH("gap_segmentation_"&amp;E146,'Hoja 1 - Supabase Transcripts'!$2:$2,0)),"not found")</f>
        <v>not found</v>
      </c>
    </row>
    <row r="147" spans="1:14" ht="409.5" customHeight="1">
      <c r="A147" t="s">
        <v>199</v>
      </c>
      <c r="B147">
        <v>1</v>
      </c>
      <c r="C147" t="s">
        <v>737</v>
      </c>
      <c r="D147" t="s">
        <v>747</v>
      </c>
      <c r="E147" t="s">
        <v>261</v>
      </c>
      <c r="F147" t="s">
        <v>748</v>
      </c>
      <c r="G147" t="s">
        <v>749</v>
      </c>
      <c r="H147">
        <v>0.95</v>
      </c>
      <c r="I147" t="s">
        <v>264</v>
      </c>
      <c r="J147" t="str">
        <f t="shared" si="2"/>
        <v>Concern content - FAMILY A</v>
      </c>
      <c r="K147"/>
      <c r="N147" t="str">
        <f>IFERROR(INDEX('Hoja 1 - Supabase Transcripts'!$A:$DN,MATCH(A147,'Hoja 1 - Supabase Transcripts'!$A:$A,0),MATCH("gap_segmentation_"&amp;E147,'Hoja 1 - Supabase Transcripts'!$2:$2,0)),"not found")</f>
        <v>not found</v>
      </c>
    </row>
    <row r="148" spans="1:14" ht="409.5" customHeight="1">
      <c r="A148" t="s">
        <v>199</v>
      </c>
      <c r="B148">
        <v>1</v>
      </c>
      <c r="C148" t="s">
        <v>737</v>
      </c>
      <c r="D148" t="s">
        <v>750</v>
      </c>
      <c r="E148" t="s">
        <v>261</v>
      </c>
      <c r="F148" t="s">
        <v>751</v>
      </c>
      <c r="G148" t="s">
        <v>752</v>
      </c>
      <c r="H148">
        <v>0.95</v>
      </c>
      <c r="I148" t="s">
        <v>264</v>
      </c>
      <c r="J148" t="str">
        <f t="shared" si="2"/>
        <v>Concern content - FAMILY A</v>
      </c>
      <c r="K148"/>
      <c r="N148" t="str">
        <f>IFERROR(INDEX('Hoja 1 - Supabase Transcripts'!$A:$DN,MATCH(A148,'Hoja 1 - Supabase Transcripts'!$A:$A,0),MATCH("gap_segmentation_"&amp;E148,'Hoja 1 - Supabase Transcripts'!$2:$2,0)),"not found")</f>
        <v>not found</v>
      </c>
    </row>
    <row r="149" spans="1:14" ht="409.5" customHeight="1">
      <c r="A149" t="s">
        <v>199</v>
      </c>
      <c r="B149">
        <v>1</v>
      </c>
      <c r="C149" t="s">
        <v>737</v>
      </c>
      <c r="D149" t="s">
        <v>753</v>
      </c>
      <c r="E149" t="s">
        <v>261</v>
      </c>
      <c r="F149" t="s">
        <v>754</v>
      </c>
      <c r="G149" t="s">
        <v>755</v>
      </c>
      <c r="H149">
        <v>1</v>
      </c>
      <c r="I149" t="s">
        <v>264</v>
      </c>
      <c r="J149" t="str">
        <f t="shared" si="2"/>
        <v>Concern content - FAMILY A</v>
      </c>
      <c r="K149"/>
      <c r="N149" t="str">
        <f>IFERROR(INDEX('Hoja 1 - Supabase Transcripts'!$A:$DN,MATCH(A149,'Hoja 1 - Supabase Transcripts'!$A:$A,0),MATCH("gap_segmentation_"&amp;E149,'Hoja 1 - Supabase Transcripts'!$2:$2,0)),"not found")</f>
        <v>not found</v>
      </c>
    </row>
    <row r="150" spans="1:14" ht="409.5" customHeight="1">
      <c r="A150" t="s">
        <v>199</v>
      </c>
      <c r="B150">
        <v>1</v>
      </c>
      <c r="C150" t="s">
        <v>737</v>
      </c>
      <c r="D150" t="s">
        <v>756</v>
      </c>
      <c r="E150" t="s">
        <v>261</v>
      </c>
      <c r="F150" t="s">
        <v>757</v>
      </c>
      <c r="G150" t="s">
        <v>758</v>
      </c>
      <c r="H150">
        <v>0.95</v>
      </c>
      <c r="I150" t="s">
        <v>274</v>
      </c>
      <c r="J150" t="str">
        <f t="shared" si="2"/>
        <v>FAMILY_A_CONCERN_CONTENT</v>
      </c>
      <c r="K150"/>
      <c r="N150" t="str">
        <f>IFERROR(INDEX('Hoja 1 - Supabase Transcripts'!$A:$DN,MATCH(A150,'Hoja 1 - Supabase Transcripts'!$A:$A,0),MATCH("gap_segmentation_"&amp;E150,'Hoja 1 - Supabase Transcripts'!$2:$2,0)),"not found")</f>
        <v>not found</v>
      </c>
    </row>
    <row r="151" spans="1:14" ht="409.5" customHeight="1">
      <c r="A151" t="s">
        <v>199</v>
      </c>
      <c r="B151">
        <v>1</v>
      </c>
      <c r="C151" t="s">
        <v>737</v>
      </c>
      <c r="D151" t="s">
        <v>759</v>
      </c>
      <c r="E151" t="s">
        <v>266</v>
      </c>
      <c r="F151" t="s">
        <v>760</v>
      </c>
      <c r="G151" t="s">
        <v>761</v>
      </c>
      <c r="H151">
        <v>0.85</v>
      </c>
      <c r="I151" t="s">
        <v>264</v>
      </c>
      <c r="J151" t="str">
        <f t="shared" si="2"/>
        <v>Concern content - FAMILY A</v>
      </c>
      <c r="K151"/>
      <c r="N151" t="str">
        <f>IFERROR(INDEX('Hoja 1 - Supabase Transcripts'!$A:$DN,MATCH(A151,'Hoja 1 - Supabase Transcripts'!$A:$A,0),MATCH("gap_segmentation_"&amp;E151,'Hoja 1 - Supabase Transcripts'!$2:$2,0)),"not found")</f>
        <v>not found</v>
      </c>
    </row>
    <row r="152" spans="1:14" ht="409.5" customHeight="1">
      <c r="A152" t="s">
        <v>199</v>
      </c>
      <c r="B152">
        <v>1</v>
      </c>
      <c r="C152" t="s">
        <v>737</v>
      </c>
      <c r="D152" t="s">
        <v>762</v>
      </c>
      <c r="E152" s="16" t="s">
        <v>266</v>
      </c>
      <c r="F152" t="s">
        <v>763</v>
      </c>
      <c r="G152" t="s">
        <v>764</v>
      </c>
      <c r="H152">
        <v>1</v>
      </c>
      <c r="I152" t="s">
        <v>415</v>
      </c>
      <c r="J152" t="str">
        <f t="shared" si="2"/>
        <v>Withholding under probing</v>
      </c>
      <c r="K152" t="e">
        <f>_xlfn.XLOOKUP(J152,#REF!,#REF!,"0",0,1)</f>
        <v>#REF!</v>
      </c>
      <c r="N152" t="str">
        <f>IFERROR(INDEX('Hoja 1 - Supabase Transcripts'!$A:$DN,MATCH(A152,'Hoja 1 - Supabase Transcripts'!$A:$A,0),MATCH("gap_segmentation_"&amp;E152,'Hoja 1 - Supabase Transcripts'!$2:$2,0)),"not found")</f>
        <v>not found</v>
      </c>
    </row>
    <row r="153" spans="1:14" ht="409.5" customHeight="1">
      <c r="A153" t="s">
        <v>199</v>
      </c>
      <c r="B153">
        <v>1</v>
      </c>
      <c r="C153" t="s">
        <v>737</v>
      </c>
      <c r="D153" t="s">
        <v>765</v>
      </c>
      <c r="E153" t="s">
        <v>266</v>
      </c>
      <c r="F153" t="s">
        <v>766</v>
      </c>
      <c r="G153" t="s">
        <v>746</v>
      </c>
      <c r="H153">
        <v>1</v>
      </c>
      <c r="I153" t="s">
        <v>264</v>
      </c>
      <c r="J153" t="str">
        <f t="shared" si="2"/>
        <v>Concern content - FAMILY A</v>
      </c>
      <c r="K153"/>
      <c r="N153" t="str">
        <f>IFERROR(INDEX('Hoja 1 - Supabase Transcripts'!$A:$DN,MATCH(A153,'Hoja 1 - Supabase Transcripts'!$A:$A,0),MATCH("gap_segmentation_"&amp;E153,'Hoja 1 - Supabase Transcripts'!$2:$2,0)),"not found")</f>
        <v>not found</v>
      </c>
    </row>
    <row r="154" spans="1:14" ht="409.5" customHeight="1">
      <c r="A154" t="s">
        <v>199</v>
      </c>
      <c r="B154">
        <v>1</v>
      </c>
      <c r="C154" t="s">
        <v>737</v>
      </c>
      <c r="D154" t="s">
        <v>767</v>
      </c>
      <c r="E154" t="s">
        <v>266</v>
      </c>
      <c r="F154" t="s">
        <v>768</v>
      </c>
      <c r="G154" t="s">
        <v>769</v>
      </c>
      <c r="H154">
        <v>0.9</v>
      </c>
      <c r="I154" t="s">
        <v>264</v>
      </c>
      <c r="J154" t="str">
        <f t="shared" si="2"/>
        <v>Concern content - FAMILY A</v>
      </c>
      <c r="K154"/>
      <c r="N154" t="str">
        <f>IFERROR(INDEX('Hoja 1 - Supabase Transcripts'!$A:$DN,MATCH(A154,'Hoja 1 - Supabase Transcripts'!$A:$A,0),MATCH("gap_segmentation_"&amp;E154,'Hoja 1 - Supabase Transcripts'!$2:$2,0)),"not found")</f>
        <v>not found</v>
      </c>
    </row>
    <row r="155" spans="1:14" ht="409.5" customHeight="1">
      <c r="A155" t="s">
        <v>199</v>
      </c>
      <c r="B155">
        <v>1</v>
      </c>
      <c r="C155" t="s">
        <v>737</v>
      </c>
      <c r="D155" t="s">
        <v>770</v>
      </c>
      <c r="E155" t="s">
        <v>266</v>
      </c>
      <c r="F155" t="s">
        <v>771</v>
      </c>
      <c r="G155" t="s">
        <v>772</v>
      </c>
      <c r="H155">
        <v>0.95</v>
      </c>
      <c r="I155" t="s">
        <v>264</v>
      </c>
      <c r="J155" t="str">
        <f t="shared" si="2"/>
        <v>Concern content - FAMILY A</v>
      </c>
      <c r="K155"/>
      <c r="N155" t="str">
        <f>IFERROR(INDEX('Hoja 1 - Supabase Transcripts'!$A:$DN,MATCH(A155,'Hoja 1 - Supabase Transcripts'!$A:$A,0),MATCH("gap_segmentation_"&amp;E155,'Hoja 1 - Supabase Transcripts'!$2:$2,0)),"not found")</f>
        <v>not found</v>
      </c>
    </row>
    <row r="156" spans="1:14" ht="409.5" customHeight="1">
      <c r="A156" t="s">
        <v>199</v>
      </c>
      <c r="B156">
        <v>1</v>
      </c>
      <c r="C156" t="s">
        <v>737</v>
      </c>
      <c r="D156" t="s">
        <v>773</v>
      </c>
      <c r="E156" t="s">
        <v>266</v>
      </c>
      <c r="F156" t="s">
        <v>774</v>
      </c>
      <c r="G156" t="s">
        <v>775</v>
      </c>
      <c r="H156">
        <v>0.9</v>
      </c>
      <c r="I156" t="s">
        <v>264</v>
      </c>
      <c r="J156" t="str">
        <f t="shared" si="2"/>
        <v>Concern content - FAMILY A</v>
      </c>
      <c r="K156"/>
      <c r="N156" t="str">
        <f>IFERROR(INDEX('Hoja 1 - Supabase Transcripts'!$A:$DN,MATCH(A156,'Hoja 1 - Supabase Transcripts'!$A:$A,0),MATCH("gap_segmentation_"&amp;E156,'Hoja 1 - Supabase Transcripts'!$2:$2,0)),"not found")</f>
        <v>not found</v>
      </c>
    </row>
    <row r="157" spans="1:14" ht="409.5" customHeight="1">
      <c r="A157" t="s">
        <v>228</v>
      </c>
      <c r="B157">
        <v>5</v>
      </c>
      <c r="C157" t="s">
        <v>776</v>
      </c>
      <c r="D157" t="s">
        <v>777</v>
      </c>
      <c r="E157" t="s">
        <v>313</v>
      </c>
      <c r="F157" t="s">
        <v>778</v>
      </c>
      <c r="G157" t="s">
        <v>779</v>
      </c>
      <c r="H157">
        <v>0.72</v>
      </c>
      <c r="I157" t="s">
        <v>264</v>
      </c>
      <c r="J157" t="str">
        <f t="shared" si="2"/>
        <v>Concern content - FAMILY A</v>
      </c>
      <c r="K157"/>
      <c r="N157" t="str">
        <f>IFERROR(INDEX('Hoja 1 - Supabase Transcripts'!$A:$DN,MATCH(A157,'Hoja 1 - Supabase Transcripts'!$A:$A,0),MATCH("gap_segmentation_"&amp;E157,'Hoja 1 - Supabase Transcripts'!$2:$2,0)),"not found")</f>
        <v>not found</v>
      </c>
    </row>
    <row r="158" spans="1:14" ht="409.5" customHeight="1">
      <c r="A158" t="s">
        <v>228</v>
      </c>
      <c r="B158">
        <v>5</v>
      </c>
      <c r="C158" t="s">
        <v>776</v>
      </c>
      <c r="D158" t="s">
        <v>780</v>
      </c>
      <c r="E158" s="16" t="s">
        <v>266</v>
      </c>
      <c r="F158" t="s">
        <v>781</v>
      </c>
      <c r="G158" t="s">
        <v>782</v>
      </c>
      <c r="H158">
        <v>0.65</v>
      </c>
      <c r="I158" t="s">
        <v>330</v>
      </c>
      <c r="J158" t="str">
        <f t="shared" si="2"/>
        <v>Protective attribution shifting</v>
      </c>
      <c r="K158" t="e">
        <f>_xlfn.XLOOKUP(J158,#REF!,#REF!,"0",0,1)</f>
        <v>#REF!</v>
      </c>
      <c r="N158" t="str">
        <f>IFERROR(INDEX('Hoja 1 - Supabase Transcripts'!$A:$DN,MATCH(A158,'Hoja 1 - Supabase Transcripts'!$A:$A,0),MATCH("gap_segmentation_"&amp;E158,'Hoja 1 - Supabase Transcripts'!$2:$2,0)),"not found")</f>
        <v>not found</v>
      </c>
    </row>
    <row r="159" spans="1:14" ht="409.5" customHeight="1">
      <c r="A159" t="s">
        <v>219</v>
      </c>
      <c r="B159">
        <v>1</v>
      </c>
      <c r="C159" t="s">
        <v>783</v>
      </c>
      <c r="D159" t="s">
        <v>784</v>
      </c>
      <c r="E159" t="s">
        <v>313</v>
      </c>
      <c r="F159" t="s">
        <v>785</v>
      </c>
      <c r="G159" t="s">
        <v>786</v>
      </c>
      <c r="H159">
        <v>0.9</v>
      </c>
      <c r="I159" t="s">
        <v>264</v>
      </c>
      <c r="J159" t="str">
        <f t="shared" si="2"/>
        <v>Concern content - FAMILY A</v>
      </c>
      <c r="K159"/>
      <c r="N159" t="str">
        <f>IFERROR(INDEX('Hoja 1 - Supabase Transcripts'!$A:$DN,MATCH(A159,'Hoja 1 - Supabase Transcripts'!$A:$A,0),MATCH("gap_segmentation_"&amp;E159,'Hoja 1 - Supabase Transcripts'!$2:$2,0)),"not found")</f>
        <v>not found</v>
      </c>
    </row>
    <row r="160" spans="1:14" ht="409.5" customHeight="1">
      <c r="A160" t="s">
        <v>219</v>
      </c>
      <c r="B160">
        <v>1</v>
      </c>
      <c r="C160" t="s">
        <v>783</v>
      </c>
      <c r="D160" t="s">
        <v>787</v>
      </c>
      <c r="E160" t="s">
        <v>313</v>
      </c>
      <c r="F160" t="s">
        <v>788</v>
      </c>
      <c r="G160" t="s">
        <v>789</v>
      </c>
      <c r="H160">
        <v>0.9</v>
      </c>
      <c r="I160" t="s">
        <v>274</v>
      </c>
      <c r="J160" t="str">
        <f t="shared" si="2"/>
        <v>FAMILY_A_CONCERN_CONTENT</v>
      </c>
      <c r="K160"/>
      <c r="N160" t="str">
        <f>IFERROR(INDEX('Hoja 1 - Supabase Transcripts'!$A:$DN,MATCH(A160,'Hoja 1 - Supabase Transcripts'!$A:$A,0),MATCH("gap_segmentation_"&amp;E160,'Hoja 1 - Supabase Transcripts'!$2:$2,0)),"not found")</f>
        <v>not found</v>
      </c>
    </row>
    <row r="161" spans="1:14" ht="409.5" customHeight="1">
      <c r="A161" t="s">
        <v>219</v>
      </c>
      <c r="B161">
        <v>1</v>
      </c>
      <c r="C161" t="s">
        <v>783</v>
      </c>
      <c r="D161" t="s">
        <v>790</v>
      </c>
      <c r="E161" t="s">
        <v>313</v>
      </c>
      <c r="F161" t="s">
        <v>791</v>
      </c>
      <c r="G161" t="s">
        <v>792</v>
      </c>
      <c r="H161">
        <v>0.9</v>
      </c>
      <c r="I161" t="s">
        <v>264</v>
      </c>
      <c r="J161" t="str">
        <f t="shared" si="2"/>
        <v>Concern content - FAMILY A</v>
      </c>
      <c r="K161"/>
      <c r="N161" t="str">
        <f>IFERROR(INDEX('Hoja 1 - Supabase Transcripts'!$A:$DN,MATCH(A161,'Hoja 1 - Supabase Transcripts'!$A:$A,0),MATCH("gap_segmentation_"&amp;E161,'Hoja 1 - Supabase Transcripts'!$2:$2,0)),"not found")</f>
        <v>not found</v>
      </c>
    </row>
    <row r="162" spans="1:14" ht="409.5" customHeight="1">
      <c r="A162" t="s">
        <v>219</v>
      </c>
      <c r="B162">
        <v>1</v>
      </c>
      <c r="C162" t="s">
        <v>783</v>
      </c>
      <c r="D162" t="s">
        <v>793</v>
      </c>
      <c r="E162" t="s">
        <v>256</v>
      </c>
      <c r="F162" t="s">
        <v>794</v>
      </c>
      <c r="G162" t="s">
        <v>795</v>
      </c>
      <c r="H162">
        <v>0.85</v>
      </c>
      <c r="I162" t="s">
        <v>264</v>
      </c>
      <c r="J162" t="str">
        <f t="shared" si="2"/>
        <v>Concern content - FAMILY A</v>
      </c>
      <c r="K162"/>
      <c r="N162" t="str">
        <f>IFERROR(INDEX('Hoja 1 - Supabase Transcripts'!$A:$DN,MATCH(A162,'Hoja 1 - Supabase Transcripts'!$A:$A,0),MATCH("gap_segmentation_"&amp;E162,'Hoja 1 - Supabase Transcripts'!$2:$2,0)),"not found")</f>
        <v>not found</v>
      </c>
    </row>
    <row r="163" spans="1:14" ht="409.5" customHeight="1">
      <c r="A163" t="s">
        <v>219</v>
      </c>
      <c r="B163">
        <v>1</v>
      </c>
      <c r="C163" t="s">
        <v>783</v>
      </c>
      <c r="D163" t="s">
        <v>796</v>
      </c>
      <c r="E163" t="s">
        <v>261</v>
      </c>
      <c r="F163" t="s">
        <v>797</v>
      </c>
      <c r="G163" t="s">
        <v>798</v>
      </c>
      <c r="H163">
        <v>0.95</v>
      </c>
      <c r="I163" t="s">
        <v>264</v>
      </c>
      <c r="J163" t="str">
        <f t="shared" si="2"/>
        <v>Concern content - FAMILY A</v>
      </c>
      <c r="K163"/>
      <c r="N163" t="str">
        <f>IFERROR(INDEX('Hoja 1 - Supabase Transcripts'!$A:$DN,MATCH(A163,'Hoja 1 - Supabase Transcripts'!$A:$A,0),MATCH("gap_segmentation_"&amp;E163,'Hoja 1 - Supabase Transcripts'!$2:$2,0)),"not found")</f>
        <v>not found</v>
      </c>
    </row>
    <row r="164" spans="1:14" ht="409.5" customHeight="1">
      <c r="A164" t="s">
        <v>219</v>
      </c>
      <c r="B164">
        <v>1</v>
      </c>
      <c r="C164" t="s">
        <v>783</v>
      </c>
      <c r="D164" t="s">
        <v>799</v>
      </c>
      <c r="E164" t="s">
        <v>261</v>
      </c>
      <c r="F164" t="s">
        <v>800</v>
      </c>
      <c r="G164" t="s">
        <v>801</v>
      </c>
      <c r="H164">
        <v>0.9</v>
      </c>
      <c r="I164" t="s">
        <v>264</v>
      </c>
      <c r="J164" t="str">
        <f t="shared" si="2"/>
        <v>Concern content - FAMILY A</v>
      </c>
      <c r="K164"/>
      <c r="N164" t="str">
        <f>IFERROR(INDEX('Hoja 1 - Supabase Transcripts'!$A:$DN,MATCH(A164,'Hoja 1 - Supabase Transcripts'!$A:$A,0),MATCH("gap_segmentation_"&amp;E164,'Hoja 1 - Supabase Transcripts'!$2:$2,0)),"not found")</f>
        <v>not found</v>
      </c>
    </row>
    <row r="165" spans="1:14" ht="409.5" customHeight="1">
      <c r="A165" t="s">
        <v>219</v>
      </c>
      <c r="B165">
        <v>1</v>
      </c>
      <c r="C165" t="s">
        <v>783</v>
      </c>
      <c r="D165" t="s">
        <v>802</v>
      </c>
      <c r="E165" t="s">
        <v>261</v>
      </c>
      <c r="F165" t="s">
        <v>803</v>
      </c>
      <c r="G165" t="s">
        <v>804</v>
      </c>
      <c r="H165">
        <v>0.9</v>
      </c>
      <c r="I165" t="s">
        <v>274</v>
      </c>
      <c r="J165" t="str">
        <f t="shared" si="2"/>
        <v>FAMILY_A_CONCERN_CONTENT</v>
      </c>
      <c r="K165"/>
      <c r="N165" t="str">
        <f>IFERROR(INDEX('Hoja 1 - Supabase Transcripts'!$A:$DN,MATCH(A165,'Hoja 1 - Supabase Transcripts'!$A:$A,0),MATCH("gap_segmentation_"&amp;E165,'Hoja 1 - Supabase Transcripts'!$2:$2,0)),"not found")</f>
        <v>not found</v>
      </c>
    </row>
    <row r="166" spans="1:14" ht="409.5" customHeight="1">
      <c r="A166" t="s">
        <v>219</v>
      </c>
      <c r="B166">
        <v>1</v>
      </c>
      <c r="C166" t="s">
        <v>783</v>
      </c>
      <c r="D166" t="s">
        <v>805</v>
      </c>
      <c r="E166" t="s">
        <v>261</v>
      </c>
      <c r="F166" t="s">
        <v>806</v>
      </c>
      <c r="G166" t="s">
        <v>807</v>
      </c>
      <c r="H166">
        <v>0.95</v>
      </c>
      <c r="I166" t="s">
        <v>597</v>
      </c>
      <c r="J166" t="str">
        <f t="shared" si="2"/>
        <v>Recognized but unescalated concerns</v>
      </c>
      <c r="K166" t="e">
        <f>_xlfn.XLOOKUP(J166,#REF!,#REF!,"0",0,1)</f>
        <v>#REF!</v>
      </c>
      <c r="N166" t="str">
        <f>IFERROR(INDEX('Hoja 1 - Supabase Transcripts'!$A:$DN,MATCH(A166,'Hoja 1 - Supabase Transcripts'!$A:$A,0),MATCH("gap_segmentation_"&amp;E166,'Hoja 1 - Supabase Transcripts'!$2:$2,0)),"not found")</f>
        <v>not found</v>
      </c>
    </row>
    <row r="167" spans="1:14" ht="409.5" customHeight="1">
      <c r="A167" t="s">
        <v>219</v>
      </c>
      <c r="B167">
        <v>1</v>
      </c>
      <c r="C167" t="s">
        <v>783</v>
      </c>
      <c r="D167" t="s">
        <v>808</v>
      </c>
      <c r="E167" t="s">
        <v>261</v>
      </c>
      <c r="F167" t="s">
        <v>809</v>
      </c>
      <c r="G167" t="s">
        <v>810</v>
      </c>
      <c r="H167">
        <v>0.85</v>
      </c>
      <c r="I167" t="s">
        <v>326</v>
      </c>
      <c r="J167" t="str">
        <f t="shared" si="2"/>
        <v>Hedged, qualified disclosure</v>
      </c>
      <c r="K167" t="e">
        <f>_xlfn.XLOOKUP(J167,#REF!,#REF!,"0",0,1)</f>
        <v>#REF!</v>
      </c>
      <c r="N167" t="str">
        <f>IFERROR(INDEX('Hoja 1 - Supabase Transcripts'!$A:$DN,MATCH(A167,'Hoja 1 - Supabase Transcripts'!$A:$A,0),MATCH("gap_segmentation_"&amp;E167,'Hoja 1 - Supabase Transcripts'!$2:$2,0)),"not found")</f>
        <v>not found</v>
      </c>
    </row>
    <row r="168" spans="1:14" ht="409.5" customHeight="1">
      <c r="A168" t="s">
        <v>219</v>
      </c>
      <c r="B168">
        <v>1</v>
      </c>
      <c r="C168" t="s">
        <v>783</v>
      </c>
      <c r="D168" t="s">
        <v>811</v>
      </c>
      <c r="E168" t="s">
        <v>261</v>
      </c>
      <c r="F168" t="s">
        <v>812</v>
      </c>
      <c r="G168" t="s">
        <v>813</v>
      </c>
      <c r="H168">
        <v>0.9</v>
      </c>
      <c r="I168" t="s">
        <v>293</v>
      </c>
      <c r="J168" t="str">
        <f t="shared" si="2"/>
        <v>Protective attribution shifting</v>
      </c>
      <c r="K168" t="e">
        <f>_xlfn.XLOOKUP(J168,#REF!,#REF!,"0",0,1)</f>
        <v>#REF!</v>
      </c>
      <c r="N168" t="str">
        <f>IFERROR(INDEX('Hoja 1 - Supabase Transcripts'!$A:$DN,MATCH(A168,'Hoja 1 - Supabase Transcripts'!$A:$A,0),MATCH("gap_segmentation_"&amp;E168,'Hoja 1 - Supabase Transcripts'!$2:$2,0)),"not found")</f>
        <v>not found</v>
      </c>
    </row>
    <row r="169" spans="1:14" ht="409.5" customHeight="1">
      <c r="A169" t="s">
        <v>219</v>
      </c>
      <c r="B169">
        <v>1</v>
      </c>
      <c r="C169" t="s">
        <v>783</v>
      </c>
      <c r="D169" t="s">
        <v>814</v>
      </c>
      <c r="E169" t="s">
        <v>261</v>
      </c>
      <c r="F169" t="s">
        <v>815</v>
      </c>
      <c r="G169" t="s">
        <v>816</v>
      </c>
      <c r="H169">
        <v>0.95</v>
      </c>
      <c r="I169" t="s">
        <v>264</v>
      </c>
      <c r="J169" t="str">
        <f t="shared" si="2"/>
        <v>Concern content - FAMILY A</v>
      </c>
      <c r="K169"/>
      <c r="N169" t="str">
        <f>IFERROR(INDEX('Hoja 1 - Supabase Transcripts'!$A:$DN,MATCH(A169,'Hoja 1 - Supabase Transcripts'!$A:$A,0),MATCH("gap_segmentation_"&amp;E169,'Hoja 1 - Supabase Transcripts'!$2:$2,0)),"not found")</f>
        <v>not found</v>
      </c>
    </row>
    <row r="170" spans="1:14" ht="409.5" customHeight="1">
      <c r="A170" t="s">
        <v>219</v>
      </c>
      <c r="B170">
        <v>1</v>
      </c>
      <c r="C170" t="s">
        <v>783</v>
      </c>
      <c r="D170" t="s">
        <v>817</v>
      </c>
      <c r="E170" t="s">
        <v>266</v>
      </c>
      <c r="F170" t="s">
        <v>818</v>
      </c>
      <c r="G170" t="s">
        <v>819</v>
      </c>
      <c r="H170">
        <v>0.95</v>
      </c>
      <c r="I170" t="s">
        <v>264</v>
      </c>
      <c r="J170" t="str">
        <f t="shared" si="2"/>
        <v>Concern content - FAMILY A</v>
      </c>
      <c r="K170"/>
      <c r="N170" t="str">
        <f>IFERROR(INDEX('Hoja 1 - Supabase Transcripts'!$A:$DN,MATCH(A170,'Hoja 1 - Supabase Transcripts'!$A:$A,0),MATCH("gap_segmentation_"&amp;E170,'Hoja 1 - Supabase Transcripts'!$2:$2,0)),"not found")</f>
        <v>not found</v>
      </c>
    </row>
    <row r="171" spans="1:14" ht="409.5" customHeight="1">
      <c r="A171" t="s">
        <v>219</v>
      </c>
      <c r="B171">
        <v>1</v>
      </c>
      <c r="C171" t="s">
        <v>783</v>
      </c>
      <c r="D171" t="s">
        <v>820</v>
      </c>
      <c r="E171" t="s">
        <v>266</v>
      </c>
      <c r="F171" t="s">
        <v>821</v>
      </c>
      <c r="G171" t="s">
        <v>822</v>
      </c>
      <c r="H171">
        <v>0.85</v>
      </c>
      <c r="I171" t="s">
        <v>264</v>
      </c>
      <c r="J171" t="str">
        <f t="shared" si="2"/>
        <v>Concern content - FAMILY A</v>
      </c>
      <c r="K171"/>
      <c r="N171" t="str">
        <f>IFERROR(INDEX('Hoja 1 - Supabase Transcripts'!$A:$DN,MATCH(A171,'Hoja 1 - Supabase Transcripts'!$A:$A,0),MATCH("gap_segmentation_"&amp;E171,'Hoja 1 - Supabase Transcripts'!$2:$2,0)),"not found")</f>
        <v>not found</v>
      </c>
    </row>
    <row r="172" spans="1:14" ht="409.5" customHeight="1">
      <c r="A172" t="s">
        <v>219</v>
      </c>
      <c r="B172">
        <v>1</v>
      </c>
      <c r="C172" t="s">
        <v>783</v>
      </c>
      <c r="D172" t="s">
        <v>823</v>
      </c>
      <c r="E172" t="s">
        <v>266</v>
      </c>
      <c r="F172" t="s">
        <v>824</v>
      </c>
      <c r="G172" t="s">
        <v>825</v>
      </c>
      <c r="H172">
        <v>0.85</v>
      </c>
      <c r="I172" t="s">
        <v>264</v>
      </c>
      <c r="J172" t="str">
        <f t="shared" si="2"/>
        <v>Concern content - FAMILY A</v>
      </c>
      <c r="K172"/>
      <c r="N172" t="str">
        <f>IFERROR(INDEX('Hoja 1 - Supabase Transcripts'!$A:$DN,MATCH(A172,'Hoja 1 - Supabase Transcripts'!$A:$A,0),MATCH("gap_segmentation_"&amp;E172,'Hoja 1 - Supabase Transcripts'!$2:$2,0)),"not found")</f>
        <v>not found</v>
      </c>
    </row>
    <row r="173" spans="1:14" ht="409.5" customHeight="1">
      <c r="A173" t="s">
        <v>219</v>
      </c>
      <c r="B173">
        <v>1</v>
      </c>
      <c r="C173" t="s">
        <v>783</v>
      </c>
      <c r="D173" t="s">
        <v>826</v>
      </c>
      <c r="E173" t="s">
        <v>266</v>
      </c>
      <c r="F173" t="s">
        <v>827</v>
      </c>
      <c r="G173" t="s">
        <v>828</v>
      </c>
      <c r="H173">
        <v>0.9</v>
      </c>
      <c r="I173" t="s">
        <v>264</v>
      </c>
      <c r="J173" t="str">
        <f t="shared" si="2"/>
        <v>Concern content - FAMILY A</v>
      </c>
      <c r="K173"/>
      <c r="N173" t="str">
        <f>IFERROR(INDEX('Hoja 1 - Supabase Transcripts'!$A:$DN,MATCH(A173,'Hoja 1 - Supabase Transcripts'!$A:$A,0),MATCH("gap_segmentation_"&amp;E173,'Hoja 1 - Supabase Transcripts'!$2:$2,0)),"not found")</f>
        <v>not found</v>
      </c>
    </row>
    <row r="174" spans="1:14" ht="409.5" customHeight="1">
      <c r="A174" t="s">
        <v>181</v>
      </c>
      <c r="B174">
        <v>2</v>
      </c>
      <c r="C174" t="s">
        <v>829</v>
      </c>
      <c r="D174" t="s">
        <v>830</v>
      </c>
      <c r="E174" t="s">
        <v>429</v>
      </c>
      <c r="F174" t="s">
        <v>831</v>
      </c>
      <c r="G174" t="s">
        <v>832</v>
      </c>
      <c r="H174">
        <v>0.9</v>
      </c>
      <c r="I174" t="s">
        <v>264</v>
      </c>
      <c r="J174" t="str">
        <f t="shared" si="2"/>
        <v>Concern content - FAMILY A</v>
      </c>
      <c r="K174"/>
      <c r="N174" t="str">
        <f>IFERROR(INDEX('Hoja 1 - Supabase Transcripts'!$A:$DN,MATCH(A174,'Hoja 1 - Supabase Transcripts'!$A:$A,0),MATCH("gap_segmentation_"&amp;E174,'Hoja 1 - Supabase Transcripts'!$2:$2,0)),"not found")</f>
        <v>not found</v>
      </c>
    </row>
    <row r="175" spans="1:14" ht="409.5" customHeight="1">
      <c r="A175" t="s">
        <v>181</v>
      </c>
      <c r="B175">
        <v>2</v>
      </c>
      <c r="C175" t="s">
        <v>829</v>
      </c>
      <c r="D175" t="s">
        <v>833</v>
      </c>
      <c r="E175" t="s">
        <v>429</v>
      </c>
      <c r="F175" t="s">
        <v>834</v>
      </c>
      <c r="G175" t="s">
        <v>835</v>
      </c>
      <c r="H175">
        <v>0.85</v>
      </c>
      <c r="I175" t="s">
        <v>597</v>
      </c>
      <c r="J175" t="str">
        <f t="shared" si="2"/>
        <v>Recognized but unescalated concerns</v>
      </c>
      <c r="K175" t="e">
        <f>_xlfn.XLOOKUP(J175,#REF!,#REF!,"0",0,1)</f>
        <v>#REF!</v>
      </c>
      <c r="N175" t="str">
        <f>IFERROR(INDEX('Hoja 1 - Supabase Transcripts'!$A:$DN,MATCH(A175,'Hoja 1 - Supabase Transcripts'!$A:$A,0),MATCH("gap_segmentation_"&amp;E175,'Hoja 1 - Supabase Transcripts'!$2:$2,0)),"not found")</f>
        <v>not found</v>
      </c>
    </row>
    <row r="176" spans="1:14" ht="409.5" customHeight="1">
      <c r="A176" t="s">
        <v>181</v>
      </c>
      <c r="B176">
        <v>2</v>
      </c>
      <c r="C176" t="s">
        <v>829</v>
      </c>
      <c r="D176" t="s">
        <v>836</v>
      </c>
      <c r="E176" t="s">
        <v>261</v>
      </c>
      <c r="F176" t="s">
        <v>837</v>
      </c>
      <c r="G176" t="s">
        <v>838</v>
      </c>
      <c r="H176">
        <v>0.95</v>
      </c>
      <c r="I176" t="s">
        <v>415</v>
      </c>
      <c r="J176" t="str">
        <f t="shared" si="2"/>
        <v>Withholding under probing</v>
      </c>
      <c r="K176" t="e">
        <f>_xlfn.XLOOKUP(J176,#REF!,#REF!,"0",0,1)</f>
        <v>#REF!</v>
      </c>
      <c r="N176" t="str">
        <f>IFERROR(INDEX('Hoja 1 - Supabase Transcripts'!$A:$DN,MATCH(A176,'Hoja 1 - Supabase Transcripts'!$A:$A,0),MATCH("gap_segmentation_"&amp;E176,'Hoja 1 - Supabase Transcripts'!$2:$2,0)),"not found")</f>
        <v>not found</v>
      </c>
    </row>
    <row r="177" spans="1:14" ht="409.5" customHeight="1">
      <c r="A177" t="s">
        <v>181</v>
      </c>
      <c r="B177">
        <v>2</v>
      </c>
      <c r="C177" t="s">
        <v>829</v>
      </c>
      <c r="D177" t="s">
        <v>839</v>
      </c>
      <c r="E177" t="s">
        <v>261</v>
      </c>
      <c r="F177" t="s">
        <v>840</v>
      </c>
      <c r="G177" t="s">
        <v>841</v>
      </c>
      <c r="H177">
        <v>0.75</v>
      </c>
      <c r="I177" t="s">
        <v>415</v>
      </c>
      <c r="J177" t="str">
        <f t="shared" si="2"/>
        <v>Withholding under probing</v>
      </c>
      <c r="K177" t="e">
        <f>_xlfn.XLOOKUP(J177,#REF!,#REF!,"0",0,1)</f>
        <v>#REF!</v>
      </c>
      <c r="N177" t="str">
        <f>IFERROR(INDEX('Hoja 1 - Supabase Transcripts'!$A:$DN,MATCH(A177,'Hoja 1 - Supabase Transcripts'!$A:$A,0),MATCH("gap_segmentation_"&amp;E177,'Hoja 1 - Supabase Transcripts'!$2:$2,0)),"not found")</f>
        <v>not found</v>
      </c>
    </row>
    <row r="178" spans="1:14" ht="409.5" customHeight="1">
      <c r="A178" t="s">
        <v>181</v>
      </c>
      <c r="B178">
        <v>2</v>
      </c>
      <c r="C178" t="s">
        <v>829</v>
      </c>
      <c r="D178" t="s">
        <v>842</v>
      </c>
      <c r="E178" s="16" t="s">
        <v>266</v>
      </c>
      <c r="F178" t="s">
        <v>843</v>
      </c>
      <c r="G178" t="s">
        <v>844</v>
      </c>
      <c r="H178">
        <v>0.8</v>
      </c>
      <c r="I178" t="s">
        <v>310</v>
      </c>
      <c r="J178" t="str">
        <f t="shared" si="2"/>
        <v>Hedged, qualified disclosure</v>
      </c>
      <c r="K178" t="e">
        <f>_xlfn.XLOOKUP(J178,#REF!,#REF!,"0",0,1)</f>
        <v>#REF!</v>
      </c>
      <c r="N178" t="str">
        <f>IFERROR(INDEX('Hoja 1 - Supabase Transcripts'!$A:$DN,MATCH(A178,'Hoja 1 - Supabase Transcripts'!$A:$A,0),MATCH("gap_segmentation_"&amp;E178,'Hoja 1 - Supabase Transcripts'!$2:$2,0)),"not found")</f>
        <v>not found</v>
      </c>
    </row>
    <row r="179" spans="1:14" ht="409.5" customHeight="1">
      <c r="A179" t="s">
        <v>235</v>
      </c>
      <c r="B179">
        <v>1</v>
      </c>
      <c r="C179" t="s">
        <v>845</v>
      </c>
      <c r="D179" t="s">
        <v>846</v>
      </c>
      <c r="E179" s="19" t="s">
        <v>256</v>
      </c>
      <c r="F179" t="s">
        <v>847</v>
      </c>
      <c r="G179" t="s">
        <v>848</v>
      </c>
      <c r="H179">
        <v>0.7</v>
      </c>
      <c r="I179" t="s">
        <v>259</v>
      </c>
      <c r="J179" t="str">
        <f t="shared" si="2"/>
        <v>Rationalizing leadership absence</v>
      </c>
      <c r="K179" t="e">
        <f>_xlfn.XLOOKUP(J179,#REF!,#REF!,"0",0,1)</f>
        <v>#REF!</v>
      </c>
      <c r="N179" t="str">
        <f>IFERROR(INDEX('Hoja 1 - Supabase Transcripts'!$A:$DN,MATCH(A179,'Hoja 1 - Supabase Transcripts'!$A:$A,0),MATCH("gap_segmentation_"&amp;E179,'Hoja 1 - Supabase Transcripts'!$2:$2,0)),"not found")</f>
        <v>not found</v>
      </c>
    </row>
    <row r="180" spans="1:14" ht="409.5" customHeight="1">
      <c r="A180" t="s">
        <v>235</v>
      </c>
      <c r="B180">
        <v>1</v>
      </c>
      <c r="C180" t="s">
        <v>845</v>
      </c>
      <c r="D180" t="s">
        <v>849</v>
      </c>
      <c r="E180" t="s">
        <v>261</v>
      </c>
      <c r="F180" t="s">
        <v>850</v>
      </c>
      <c r="G180" t="s">
        <v>851</v>
      </c>
      <c r="H180">
        <v>0.65</v>
      </c>
      <c r="I180" t="s">
        <v>264</v>
      </c>
      <c r="J180" t="str">
        <f t="shared" si="2"/>
        <v>Concern content - FAMILY A</v>
      </c>
      <c r="K180"/>
      <c r="N180" t="str">
        <f>IFERROR(INDEX('Hoja 1 - Supabase Transcripts'!$A:$DN,MATCH(A180,'Hoja 1 - Supabase Transcripts'!$A:$A,0),MATCH("gap_segmentation_"&amp;E180,'Hoja 1 - Supabase Transcripts'!$2:$2,0)),"not found")</f>
        <v>not found</v>
      </c>
    </row>
    <row r="181" spans="1:14" ht="409.5" customHeight="1">
      <c r="A181" t="s">
        <v>235</v>
      </c>
      <c r="B181">
        <v>1</v>
      </c>
      <c r="C181" t="s">
        <v>845</v>
      </c>
      <c r="D181" t="s">
        <v>852</v>
      </c>
      <c r="E181" t="s">
        <v>261</v>
      </c>
      <c r="F181" t="s">
        <v>853</v>
      </c>
      <c r="G181" t="s">
        <v>854</v>
      </c>
      <c r="H181">
        <v>0.75</v>
      </c>
      <c r="I181" t="s">
        <v>264</v>
      </c>
      <c r="J181" t="str">
        <f t="shared" si="2"/>
        <v>Concern content - FAMILY A</v>
      </c>
      <c r="K181"/>
      <c r="N181" t="str">
        <f>IFERROR(INDEX('Hoja 1 - Supabase Transcripts'!$A:$DN,MATCH(A181,'Hoja 1 - Supabase Transcripts'!$A:$A,0),MATCH("gap_segmentation_"&amp;E181,'Hoja 1 - Supabase Transcripts'!$2:$2,0)),"not found")</f>
        <v>not found</v>
      </c>
    </row>
    <row r="182" spans="1:14" ht="409.5" customHeight="1">
      <c r="A182" t="s">
        <v>235</v>
      </c>
      <c r="B182">
        <v>1</v>
      </c>
      <c r="C182" t="s">
        <v>845</v>
      </c>
      <c r="D182" t="s">
        <v>855</v>
      </c>
      <c r="E182" t="s">
        <v>266</v>
      </c>
      <c r="F182" t="s">
        <v>856</v>
      </c>
      <c r="G182" t="s">
        <v>857</v>
      </c>
      <c r="H182">
        <v>0.8</v>
      </c>
      <c r="I182" t="s">
        <v>264</v>
      </c>
      <c r="J182" t="str">
        <f t="shared" si="2"/>
        <v>Concern content - FAMILY A</v>
      </c>
      <c r="K182"/>
      <c r="N182" t="str">
        <f>IFERROR(INDEX('Hoja 1 - Supabase Transcripts'!$A:$DN,MATCH(A182,'Hoja 1 - Supabase Transcripts'!$A:$A,0),MATCH("gap_segmentation_"&amp;E182,'Hoja 1 - Supabase Transcripts'!$2:$2,0)),"not found")</f>
        <v>not found</v>
      </c>
    </row>
    <row r="183" spans="1:14" ht="409.5" customHeight="1">
      <c r="A183" t="s">
        <v>229</v>
      </c>
      <c r="B183">
        <v>3</v>
      </c>
      <c r="C183" t="s">
        <v>858</v>
      </c>
      <c r="D183" t="s">
        <v>859</v>
      </c>
      <c r="E183" t="s">
        <v>256</v>
      </c>
      <c r="F183" t="s">
        <v>860</v>
      </c>
      <c r="G183" t="s">
        <v>861</v>
      </c>
      <c r="H183">
        <v>0.75</v>
      </c>
      <c r="I183" t="s">
        <v>274</v>
      </c>
      <c r="J183" t="str">
        <f t="shared" si="2"/>
        <v>FAMILY_A_CONCERN_CONTENT</v>
      </c>
      <c r="K183"/>
      <c r="N183" t="str">
        <f>IFERROR(INDEX('Hoja 1 - Supabase Transcripts'!$A:$DN,MATCH(A183,'Hoja 1 - Supabase Transcripts'!$A:$A,0),MATCH("gap_segmentation_"&amp;E183,'Hoja 1 - Supabase Transcripts'!$2:$2,0)),"not found")</f>
        <v>not found</v>
      </c>
    </row>
    <row r="184" spans="1:14" ht="409.5" customHeight="1">
      <c r="A184" t="s">
        <v>229</v>
      </c>
      <c r="B184">
        <v>3</v>
      </c>
      <c r="C184" t="s">
        <v>858</v>
      </c>
      <c r="D184" t="s">
        <v>862</v>
      </c>
      <c r="E184" t="s">
        <v>261</v>
      </c>
      <c r="F184" t="s">
        <v>863</v>
      </c>
      <c r="G184" t="s">
        <v>864</v>
      </c>
      <c r="H184">
        <v>0.85</v>
      </c>
      <c r="I184" t="s">
        <v>281</v>
      </c>
      <c r="J184" t="str">
        <f t="shared" si="2"/>
        <v>Aspirational framing of unmet needs</v>
      </c>
      <c r="K184" t="e">
        <f>_xlfn.XLOOKUP(J184,#REF!,#REF!,"0",0,1)</f>
        <v>#REF!</v>
      </c>
      <c r="N184" t="str">
        <f>IFERROR(INDEX('Hoja 1 - Supabase Transcripts'!$A:$DN,MATCH(A184,'Hoja 1 - Supabase Transcripts'!$A:$A,0),MATCH("gap_segmentation_"&amp;E184,'Hoja 1 - Supabase Transcripts'!$2:$2,0)),"not found")</f>
        <v>not found</v>
      </c>
    </row>
    <row r="185" spans="1:14" ht="409.5" customHeight="1">
      <c r="A185" t="s">
        <v>229</v>
      </c>
      <c r="B185">
        <v>3</v>
      </c>
      <c r="C185" t="s">
        <v>858</v>
      </c>
      <c r="D185" t="s">
        <v>865</v>
      </c>
      <c r="E185" t="s">
        <v>261</v>
      </c>
      <c r="F185" t="s">
        <v>866</v>
      </c>
      <c r="G185" t="s">
        <v>867</v>
      </c>
      <c r="H185">
        <v>0.9</v>
      </c>
      <c r="I185" t="s">
        <v>264</v>
      </c>
      <c r="J185" t="str">
        <f t="shared" si="2"/>
        <v>Concern content - FAMILY A</v>
      </c>
      <c r="K185"/>
      <c r="N185" t="str">
        <f>IFERROR(INDEX('Hoja 1 - Supabase Transcripts'!$A:$DN,MATCH(A185,'Hoja 1 - Supabase Transcripts'!$A:$A,0),MATCH("gap_segmentation_"&amp;E185,'Hoja 1 - Supabase Transcripts'!$2:$2,0)),"not found")</f>
        <v>not found</v>
      </c>
    </row>
    <row r="186" spans="1:14" ht="409.5" customHeight="1">
      <c r="A186" t="s">
        <v>197</v>
      </c>
      <c r="B186">
        <v>2</v>
      </c>
      <c r="C186" t="s">
        <v>868</v>
      </c>
      <c r="D186" t="s">
        <v>869</v>
      </c>
      <c r="E186" t="s">
        <v>261</v>
      </c>
      <c r="F186" t="s">
        <v>870</v>
      </c>
      <c r="G186" t="s">
        <v>871</v>
      </c>
      <c r="H186">
        <v>0.9</v>
      </c>
      <c r="I186" t="s">
        <v>274</v>
      </c>
      <c r="J186" t="str">
        <f t="shared" si="2"/>
        <v>FAMILY_A_CONCERN_CONTENT</v>
      </c>
      <c r="K186"/>
      <c r="N186" t="str">
        <f>IFERROR(INDEX('Hoja 1 - Supabase Transcripts'!$A:$DN,MATCH(A186,'Hoja 1 - Supabase Transcripts'!$A:$A,0),MATCH("gap_segmentation_"&amp;E186,'Hoja 1 - Supabase Transcripts'!$2:$2,0)),"not found")</f>
        <v>not found</v>
      </c>
    </row>
    <row r="187" spans="1:14" ht="409.5" customHeight="1">
      <c r="A187" t="s">
        <v>197</v>
      </c>
      <c r="B187">
        <v>2</v>
      </c>
      <c r="C187" t="s">
        <v>868</v>
      </c>
      <c r="D187" t="s">
        <v>872</v>
      </c>
      <c r="E187" t="s">
        <v>261</v>
      </c>
      <c r="F187" t="s">
        <v>873</v>
      </c>
      <c r="G187" t="s">
        <v>874</v>
      </c>
      <c r="H187">
        <v>0.95</v>
      </c>
      <c r="I187" t="s">
        <v>264</v>
      </c>
      <c r="J187" t="str">
        <f t="shared" si="2"/>
        <v>Concern content - FAMILY A</v>
      </c>
      <c r="K187"/>
      <c r="N187" t="str">
        <f>IFERROR(INDEX('Hoja 1 - Supabase Transcripts'!$A:$DN,MATCH(A187,'Hoja 1 - Supabase Transcripts'!$A:$A,0),MATCH("gap_segmentation_"&amp;E187,'Hoja 1 - Supabase Transcripts'!$2:$2,0)),"not found")</f>
        <v>not found</v>
      </c>
    </row>
    <row r="188" spans="1:14" ht="409.5" customHeight="1">
      <c r="A188" t="s">
        <v>197</v>
      </c>
      <c r="B188">
        <v>2</v>
      </c>
      <c r="C188" t="s">
        <v>868</v>
      </c>
      <c r="D188" t="s">
        <v>875</v>
      </c>
      <c r="E188" t="s">
        <v>261</v>
      </c>
      <c r="F188" t="s">
        <v>876</v>
      </c>
      <c r="G188" t="s">
        <v>877</v>
      </c>
      <c r="H188">
        <v>0.85</v>
      </c>
      <c r="I188" t="s">
        <v>281</v>
      </c>
      <c r="J188" t="str">
        <f t="shared" si="2"/>
        <v>Aspirational framing of unmet needs</v>
      </c>
      <c r="K188" t="e">
        <f>_xlfn.XLOOKUP(J188,#REF!,#REF!,"0",0,1)</f>
        <v>#REF!</v>
      </c>
      <c r="N188" t="str">
        <f>IFERROR(INDEX('Hoja 1 - Supabase Transcripts'!$A:$DN,MATCH(A188,'Hoja 1 - Supabase Transcripts'!$A:$A,0),MATCH("gap_segmentation_"&amp;E188,'Hoja 1 - Supabase Transcripts'!$2:$2,0)),"not found")</f>
        <v>not found</v>
      </c>
    </row>
    <row r="189" spans="1:14" ht="409.5" customHeight="1">
      <c r="A189" t="s">
        <v>197</v>
      </c>
      <c r="B189">
        <v>2</v>
      </c>
      <c r="C189" t="s">
        <v>868</v>
      </c>
      <c r="D189" t="s">
        <v>878</v>
      </c>
      <c r="E189" t="s">
        <v>261</v>
      </c>
      <c r="F189" t="s">
        <v>879</v>
      </c>
      <c r="G189" t="s">
        <v>880</v>
      </c>
      <c r="H189">
        <v>0.8</v>
      </c>
      <c r="I189" t="s">
        <v>264</v>
      </c>
      <c r="J189" t="str">
        <f t="shared" si="2"/>
        <v>Concern content - FAMILY A</v>
      </c>
      <c r="K189"/>
      <c r="N189" t="str">
        <f>IFERROR(INDEX('Hoja 1 - Supabase Transcripts'!$A:$DN,MATCH(A189,'Hoja 1 - Supabase Transcripts'!$A:$A,0),MATCH("gap_segmentation_"&amp;E189,'Hoja 1 - Supabase Transcripts'!$2:$2,0)),"not found")</f>
        <v>not found</v>
      </c>
    </row>
    <row r="190" spans="1:14" ht="409.5" customHeight="1">
      <c r="A190" t="s">
        <v>225</v>
      </c>
      <c r="B190">
        <v>2</v>
      </c>
      <c r="C190" t="s">
        <v>881</v>
      </c>
      <c r="D190" t="s">
        <v>882</v>
      </c>
      <c r="E190" t="s">
        <v>429</v>
      </c>
      <c r="F190" t="s">
        <v>883</v>
      </c>
      <c r="G190" t="s">
        <v>884</v>
      </c>
      <c r="H190">
        <v>0.85</v>
      </c>
      <c r="I190" t="s">
        <v>281</v>
      </c>
      <c r="J190" t="str">
        <f t="shared" si="2"/>
        <v>Aspirational framing of unmet needs</v>
      </c>
      <c r="K190" t="e">
        <f>_xlfn.XLOOKUP(J190,#REF!,#REF!,"0",0,1)</f>
        <v>#REF!</v>
      </c>
      <c r="N190" t="str">
        <f>IFERROR(INDEX('Hoja 1 - Supabase Transcripts'!$A:$DN,MATCH(A190,'Hoja 1 - Supabase Transcripts'!$A:$A,0),MATCH("gap_segmentation_"&amp;E190,'Hoja 1 - Supabase Transcripts'!$2:$2,0)),"not found")</f>
        <v>not found</v>
      </c>
    </row>
    <row r="191" spans="1:14" ht="409.5" customHeight="1">
      <c r="A191" t="s">
        <v>225</v>
      </c>
      <c r="B191">
        <v>2</v>
      </c>
      <c r="C191" t="s">
        <v>881</v>
      </c>
      <c r="D191" t="s">
        <v>885</v>
      </c>
      <c r="E191" t="s">
        <v>429</v>
      </c>
      <c r="F191" t="s">
        <v>886</v>
      </c>
      <c r="G191" t="s">
        <v>887</v>
      </c>
      <c r="H191">
        <v>0.92</v>
      </c>
      <c r="I191" t="s">
        <v>264</v>
      </c>
      <c r="J191" t="str">
        <f t="shared" si="2"/>
        <v>Concern content - FAMILY A</v>
      </c>
      <c r="K191"/>
      <c r="N191" t="str">
        <f>IFERROR(INDEX('Hoja 1 - Supabase Transcripts'!$A:$DN,MATCH(A191,'Hoja 1 - Supabase Transcripts'!$A:$A,0),MATCH("gap_segmentation_"&amp;E191,'Hoja 1 - Supabase Transcripts'!$2:$2,0)),"not found")</f>
        <v>not found</v>
      </c>
    </row>
    <row r="192" spans="1:14" ht="409.5" customHeight="1">
      <c r="A192" t="s">
        <v>225</v>
      </c>
      <c r="B192">
        <v>2</v>
      </c>
      <c r="C192" t="s">
        <v>881</v>
      </c>
      <c r="D192" t="s">
        <v>888</v>
      </c>
      <c r="E192" t="s">
        <v>429</v>
      </c>
      <c r="F192" t="s">
        <v>889</v>
      </c>
      <c r="G192" t="s">
        <v>890</v>
      </c>
      <c r="H192">
        <v>0.87</v>
      </c>
      <c r="I192" t="s">
        <v>281</v>
      </c>
      <c r="J192" t="str">
        <f t="shared" si="2"/>
        <v>Aspirational framing of unmet needs</v>
      </c>
      <c r="K192" t="e">
        <f>_xlfn.XLOOKUP(J192,#REF!,#REF!,"0",0,1)</f>
        <v>#REF!</v>
      </c>
      <c r="N192" t="str">
        <f>IFERROR(INDEX('Hoja 1 - Supabase Transcripts'!$A:$DN,MATCH(A192,'Hoja 1 - Supabase Transcripts'!$A:$A,0),MATCH("gap_segmentation_"&amp;E192,'Hoja 1 - Supabase Transcripts'!$2:$2,0)),"not found")</f>
        <v>not found</v>
      </c>
    </row>
    <row r="193" spans="1:14" ht="409.5" customHeight="1">
      <c r="A193" t="s">
        <v>225</v>
      </c>
      <c r="B193">
        <v>2</v>
      </c>
      <c r="C193" t="s">
        <v>881</v>
      </c>
      <c r="D193" t="s">
        <v>891</v>
      </c>
      <c r="E193" s="19" t="s">
        <v>256</v>
      </c>
      <c r="F193" t="s">
        <v>892</v>
      </c>
      <c r="G193" t="s">
        <v>893</v>
      </c>
      <c r="H193">
        <v>0.82</v>
      </c>
      <c r="I193" t="s">
        <v>326</v>
      </c>
      <c r="J193" t="str">
        <f t="shared" si="2"/>
        <v>Hedged, qualified disclosure</v>
      </c>
      <c r="K193" t="e">
        <f>_xlfn.XLOOKUP(J193,#REF!,#REF!,"0",0,1)</f>
        <v>#REF!</v>
      </c>
      <c r="N193" t="str">
        <f>IFERROR(INDEX('Hoja 1 - Supabase Transcripts'!$A:$DN,MATCH(A193,'Hoja 1 - Supabase Transcripts'!$A:$A,0),MATCH("gap_segmentation_"&amp;E193,'Hoja 1 - Supabase Transcripts'!$2:$2,0)),"not found")</f>
        <v>not found</v>
      </c>
    </row>
    <row r="194" spans="1:14" ht="409.5" customHeight="1">
      <c r="A194" t="s">
        <v>225</v>
      </c>
      <c r="B194">
        <v>2</v>
      </c>
      <c r="C194" t="s">
        <v>881</v>
      </c>
      <c r="D194" t="s">
        <v>894</v>
      </c>
      <c r="E194" t="s">
        <v>256</v>
      </c>
      <c r="F194" t="s">
        <v>895</v>
      </c>
      <c r="G194" t="s">
        <v>896</v>
      </c>
      <c r="H194">
        <v>0.75</v>
      </c>
      <c r="I194" t="s">
        <v>264</v>
      </c>
      <c r="J194" t="str">
        <f t="shared" ref="J194:J257" si="3">IF(OR(I194="Epistemic hedging",I194="Qualifying severity while disclosing",I194="Downgrading emotional intensity"),"Hedged, qualified disclosure",IF(OR(I194="Externalizing accountability",I194="Self-attributing structural problems"),"Protective attribution shifting",IF(OR(I194="Refusal to elaborate under probing",I194="Retracting or qualifying disclosure"),"Withholding under probing",IF(OR(I194="Managing traceability and exposure",I194="Compartmentalizing the AI channel"),"Channel exposure management",IF(OR(I194="Skepticism toward remedy",I194="Anticipating dismissal or misrecognition"),"Anticipated futility of voice",IF(OR(I194="Calling out known but unaddressed issues",I194="Silence within expression"),"Recognized but unescalated concerns",I194))))))</f>
        <v>Concern content - FAMILY A</v>
      </c>
      <c r="K194"/>
      <c r="N194" t="str">
        <f>IFERROR(INDEX('Hoja 1 - Supabase Transcripts'!$A:$DN,MATCH(A194,'Hoja 1 - Supabase Transcripts'!$A:$A,0),MATCH("gap_segmentation_"&amp;E194,'Hoja 1 - Supabase Transcripts'!$2:$2,0)),"not found")</f>
        <v>not found</v>
      </c>
    </row>
    <row r="195" spans="1:14" ht="409.5" customHeight="1">
      <c r="A195" t="s">
        <v>225</v>
      </c>
      <c r="B195">
        <v>2</v>
      </c>
      <c r="C195" t="s">
        <v>881</v>
      </c>
      <c r="D195" t="s">
        <v>897</v>
      </c>
      <c r="E195" t="s">
        <v>261</v>
      </c>
      <c r="F195" t="s">
        <v>898</v>
      </c>
      <c r="G195" t="s">
        <v>899</v>
      </c>
      <c r="H195">
        <v>0.85</v>
      </c>
      <c r="I195" t="s">
        <v>264</v>
      </c>
      <c r="J195" t="str">
        <f t="shared" si="3"/>
        <v>Concern content - FAMILY A</v>
      </c>
      <c r="K195"/>
      <c r="N195" t="str">
        <f>IFERROR(INDEX('Hoja 1 - Supabase Transcripts'!$A:$DN,MATCH(A195,'Hoja 1 - Supabase Transcripts'!$A:$A,0),MATCH("gap_segmentation_"&amp;E195,'Hoja 1 - Supabase Transcripts'!$2:$2,0)),"not found")</f>
        <v>not found</v>
      </c>
    </row>
    <row r="196" spans="1:14" ht="409.5" customHeight="1">
      <c r="A196" t="s">
        <v>225</v>
      </c>
      <c r="B196">
        <v>2</v>
      </c>
      <c r="C196" t="s">
        <v>881</v>
      </c>
      <c r="D196" t="s">
        <v>900</v>
      </c>
      <c r="E196" t="s">
        <v>266</v>
      </c>
      <c r="F196" t="s">
        <v>901</v>
      </c>
      <c r="G196" t="s">
        <v>902</v>
      </c>
      <c r="H196">
        <v>0.88</v>
      </c>
      <c r="I196" t="s">
        <v>264</v>
      </c>
      <c r="J196" t="str">
        <f t="shared" si="3"/>
        <v>Concern content - FAMILY A</v>
      </c>
      <c r="K196"/>
      <c r="N196" t="str">
        <f>IFERROR(INDEX('Hoja 1 - Supabase Transcripts'!$A:$DN,MATCH(A196,'Hoja 1 - Supabase Transcripts'!$A:$A,0),MATCH("gap_segmentation_"&amp;E196,'Hoja 1 - Supabase Transcripts'!$2:$2,0)),"not found")</f>
        <v>not found</v>
      </c>
    </row>
    <row r="197" spans="1:14" ht="409.5" customHeight="1">
      <c r="A197" t="s">
        <v>225</v>
      </c>
      <c r="B197">
        <v>2</v>
      </c>
      <c r="C197" t="s">
        <v>881</v>
      </c>
      <c r="D197" t="s">
        <v>903</v>
      </c>
      <c r="E197" t="s">
        <v>266</v>
      </c>
      <c r="F197" t="s">
        <v>904</v>
      </c>
      <c r="G197" t="s">
        <v>905</v>
      </c>
      <c r="H197">
        <v>0.9</v>
      </c>
      <c r="I197" t="s">
        <v>264</v>
      </c>
      <c r="J197" t="str">
        <f t="shared" si="3"/>
        <v>Concern content - FAMILY A</v>
      </c>
      <c r="K197"/>
      <c r="N197" t="str">
        <f>IFERROR(INDEX('Hoja 1 - Supabase Transcripts'!$A:$DN,MATCH(A197,'Hoja 1 - Supabase Transcripts'!$A:$A,0),MATCH("gap_segmentation_"&amp;E197,'Hoja 1 - Supabase Transcripts'!$2:$2,0)),"not found")</f>
        <v>not found</v>
      </c>
    </row>
    <row r="198" spans="1:14" ht="384" customHeight="1">
      <c r="A198" t="s">
        <v>220</v>
      </c>
      <c r="B198">
        <v>1</v>
      </c>
      <c r="C198" t="s">
        <v>906</v>
      </c>
      <c r="D198" t="s">
        <v>907</v>
      </c>
      <c r="E198" t="s">
        <v>313</v>
      </c>
      <c r="F198" t="s">
        <v>908</v>
      </c>
      <c r="G198" t="s">
        <v>909</v>
      </c>
      <c r="H198">
        <v>0.75</v>
      </c>
      <c r="I198" t="s">
        <v>415</v>
      </c>
      <c r="J198" t="str">
        <f t="shared" si="3"/>
        <v>Withholding under probing</v>
      </c>
      <c r="K198" t="e">
        <f>_xlfn.XLOOKUP(J198,#REF!,#REF!,"0",0,1)</f>
        <v>#REF!</v>
      </c>
      <c r="N198" t="str">
        <f>IFERROR(INDEX('Hoja 1 - Supabase Transcripts'!$A:$DN,MATCH(A198,'Hoja 1 - Supabase Transcripts'!$A:$A,0),MATCH("gap_segmentation_"&amp;E198,'Hoja 1 - Supabase Transcripts'!$2:$2,0)),"not found")</f>
        <v>not found</v>
      </c>
    </row>
    <row r="199" spans="1:14" ht="384" customHeight="1">
      <c r="A199" t="s">
        <v>220</v>
      </c>
      <c r="B199">
        <v>1</v>
      </c>
      <c r="C199" t="s">
        <v>906</v>
      </c>
      <c r="D199" t="s">
        <v>910</v>
      </c>
      <c r="E199" s="19" t="s">
        <v>256</v>
      </c>
      <c r="F199" t="s">
        <v>911</v>
      </c>
      <c r="G199" t="s">
        <v>909</v>
      </c>
      <c r="H199">
        <v>0.7</v>
      </c>
      <c r="I199" t="s">
        <v>415</v>
      </c>
      <c r="J199" t="str">
        <f t="shared" si="3"/>
        <v>Withholding under probing</v>
      </c>
      <c r="K199" t="e">
        <f>_xlfn.XLOOKUP(J199,#REF!,#REF!,"0",0,1)</f>
        <v>#REF!</v>
      </c>
      <c r="N199" t="str">
        <f>IFERROR(INDEX('Hoja 1 - Supabase Transcripts'!$A:$DN,MATCH(A199,'Hoja 1 - Supabase Transcripts'!$A:$A,0),MATCH("gap_segmentation_"&amp;E199,'Hoja 1 - Supabase Transcripts'!$2:$2,0)),"not found")</f>
        <v>not found</v>
      </c>
    </row>
    <row r="200" spans="1:14" ht="409.5" customHeight="1">
      <c r="A200" t="s">
        <v>238</v>
      </c>
      <c r="B200">
        <v>2</v>
      </c>
      <c r="C200" t="s">
        <v>912</v>
      </c>
      <c r="D200" t="s">
        <v>913</v>
      </c>
      <c r="E200" t="s">
        <v>256</v>
      </c>
      <c r="F200" t="s">
        <v>914</v>
      </c>
      <c r="G200" t="s">
        <v>915</v>
      </c>
      <c r="H200">
        <v>0.85</v>
      </c>
      <c r="I200" t="s">
        <v>264</v>
      </c>
      <c r="J200" t="str">
        <f t="shared" si="3"/>
        <v>Concern content - FAMILY A</v>
      </c>
      <c r="K200"/>
      <c r="N200" t="str">
        <f>IFERROR(INDEX('Hoja 1 - Supabase Transcripts'!$A:$DN,MATCH(A200,'Hoja 1 - Supabase Transcripts'!$A:$A,0),MATCH("gap_segmentation_"&amp;E200,'Hoja 1 - Supabase Transcripts'!$2:$2,0)),"not found")</f>
        <v>not found</v>
      </c>
    </row>
    <row r="201" spans="1:14" ht="409.5" customHeight="1">
      <c r="A201" t="s">
        <v>238</v>
      </c>
      <c r="B201">
        <v>2</v>
      </c>
      <c r="C201" t="s">
        <v>912</v>
      </c>
      <c r="D201" t="s">
        <v>916</v>
      </c>
      <c r="E201" t="s">
        <v>256</v>
      </c>
      <c r="F201" t="s">
        <v>917</v>
      </c>
      <c r="G201" t="s">
        <v>918</v>
      </c>
      <c r="H201">
        <v>0.8</v>
      </c>
      <c r="I201" t="s">
        <v>264</v>
      </c>
      <c r="J201" t="str">
        <f t="shared" si="3"/>
        <v>Concern content - FAMILY A</v>
      </c>
      <c r="K201"/>
      <c r="N201" t="str">
        <f>IFERROR(INDEX('Hoja 1 - Supabase Transcripts'!$A:$DN,MATCH(A201,'Hoja 1 - Supabase Transcripts'!$A:$A,0),MATCH("gap_segmentation_"&amp;E201,'Hoja 1 - Supabase Transcripts'!$2:$2,0)),"not found")</f>
        <v>not found</v>
      </c>
    </row>
    <row r="202" spans="1:14" ht="409.5" customHeight="1">
      <c r="A202" t="s">
        <v>238</v>
      </c>
      <c r="B202">
        <v>2</v>
      </c>
      <c r="C202" t="s">
        <v>912</v>
      </c>
      <c r="D202" t="s">
        <v>919</v>
      </c>
      <c r="E202" t="s">
        <v>261</v>
      </c>
      <c r="F202" t="s">
        <v>920</v>
      </c>
      <c r="G202" t="s">
        <v>921</v>
      </c>
      <c r="H202">
        <v>0.9</v>
      </c>
      <c r="I202" t="s">
        <v>264</v>
      </c>
      <c r="J202" t="str">
        <f t="shared" si="3"/>
        <v>Concern content - FAMILY A</v>
      </c>
      <c r="K202"/>
      <c r="N202" t="str">
        <f>IFERROR(INDEX('Hoja 1 - Supabase Transcripts'!$A:$DN,MATCH(A202,'Hoja 1 - Supabase Transcripts'!$A:$A,0),MATCH("gap_segmentation_"&amp;E202,'Hoja 1 - Supabase Transcripts'!$2:$2,0)),"not found")</f>
        <v>not found</v>
      </c>
    </row>
    <row r="203" spans="1:14" ht="409.5" customHeight="1">
      <c r="A203" t="s">
        <v>238</v>
      </c>
      <c r="B203">
        <v>2</v>
      </c>
      <c r="C203" t="s">
        <v>912</v>
      </c>
      <c r="D203" t="s">
        <v>922</v>
      </c>
      <c r="E203" t="s">
        <v>261</v>
      </c>
      <c r="F203" t="s">
        <v>923</v>
      </c>
      <c r="G203" t="s">
        <v>924</v>
      </c>
      <c r="H203">
        <v>0.85</v>
      </c>
      <c r="I203" t="s">
        <v>293</v>
      </c>
      <c r="J203" t="str">
        <f t="shared" si="3"/>
        <v>Protective attribution shifting</v>
      </c>
      <c r="K203" t="e">
        <f>_xlfn.XLOOKUP(J203,#REF!,#REF!,"0",0,1)</f>
        <v>#REF!</v>
      </c>
      <c r="N203" t="str">
        <f>IFERROR(INDEX('Hoja 1 - Supabase Transcripts'!$A:$DN,MATCH(A203,'Hoja 1 - Supabase Transcripts'!$A:$A,0),MATCH("gap_segmentation_"&amp;E203,'Hoja 1 - Supabase Transcripts'!$2:$2,0)),"not found")</f>
        <v>not found</v>
      </c>
    </row>
    <row r="204" spans="1:14" ht="409.5" customHeight="1">
      <c r="A204" t="s">
        <v>238</v>
      </c>
      <c r="B204">
        <v>2</v>
      </c>
      <c r="C204" t="s">
        <v>912</v>
      </c>
      <c r="D204" t="s">
        <v>925</v>
      </c>
      <c r="E204" t="s">
        <v>261</v>
      </c>
      <c r="F204" t="s">
        <v>926</v>
      </c>
      <c r="G204" t="s">
        <v>927</v>
      </c>
      <c r="H204">
        <v>0.95</v>
      </c>
      <c r="I204" t="s">
        <v>293</v>
      </c>
      <c r="J204" t="str">
        <f t="shared" si="3"/>
        <v>Protective attribution shifting</v>
      </c>
      <c r="K204" t="e">
        <f>_xlfn.XLOOKUP(J204,#REF!,#REF!,"0",0,1)</f>
        <v>#REF!</v>
      </c>
      <c r="N204" t="str">
        <f>IFERROR(INDEX('Hoja 1 - Supabase Transcripts'!$A:$DN,MATCH(A204,'Hoja 1 - Supabase Transcripts'!$A:$A,0),MATCH("gap_segmentation_"&amp;E204,'Hoja 1 - Supabase Transcripts'!$2:$2,0)),"not found")</f>
        <v>not found</v>
      </c>
    </row>
    <row r="205" spans="1:14" ht="409.5" customHeight="1">
      <c r="A205" t="s">
        <v>238</v>
      </c>
      <c r="B205">
        <v>2</v>
      </c>
      <c r="C205" t="s">
        <v>912</v>
      </c>
      <c r="D205" t="s">
        <v>928</v>
      </c>
      <c r="E205" t="s">
        <v>261</v>
      </c>
      <c r="F205" t="s">
        <v>929</v>
      </c>
      <c r="G205" t="s">
        <v>930</v>
      </c>
      <c r="H205">
        <v>0.9</v>
      </c>
      <c r="I205" t="s">
        <v>264</v>
      </c>
      <c r="J205" t="str">
        <f t="shared" si="3"/>
        <v>Concern content - FAMILY A</v>
      </c>
      <c r="K205"/>
      <c r="N205" t="str">
        <f>IFERROR(INDEX('Hoja 1 - Supabase Transcripts'!$A:$DN,MATCH(A205,'Hoja 1 - Supabase Transcripts'!$A:$A,0),MATCH("gap_segmentation_"&amp;E205,'Hoja 1 - Supabase Transcripts'!$2:$2,0)),"not found")</f>
        <v>not found</v>
      </c>
    </row>
    <row r="206" spans="1:14" ht="409.5" customHeight="1">
      <c r="A206" t="s">
        <v>238</v>
      </c>
      <c r="B206">
        <v>2</v>
      </c>
      <c r="C206" t="s">
        <v>912</v>
      </c>
      <c r="D206" t="s">
        <v>931</v>
      </c>
      <c r="E206" t="s">
        <v>261</v>
      </c>
      <c r="F206" t="s">
        <v>932</v>
      </c>
      <c r="G206" t="s">
        <v>933</v>
      </c>
      <c r="H206">
        <v>0.9</v>
      </c>
      <c r="I206" t="s">
        <v>264</v>
      </c>
      <c r="J206" t="str">
        <f t="shared" si="3"/>
        <v>Concern content - FAMILY A</v>
      </c>
      <c r="K206"/>
      <c r="N206" t="str">
        <f>IFERROR(INDEX('Hoja 1 - Supabase Transcripts'!$A:$DN,MATCH(A206,'Hoja 1 - Supabase Transcripts'!$A:$A,0),MATCH("gap_segmentation_"&amp;E206,'Hoja 1 - Supabase Transcripts'!$2:$2,0)),"not found")</f>
        <v>not found</v>
      </c>
    </row>
    <row r="207" spans="1:14" ht="409.5" customHeight="1">
      <c r="A207" t="s">
        <v>238</v>
      </c>
      <c r="B207">
        <v>2</v>
      </c>
      <c r="C207" t="s">
        <v>912</v>
      </c>
      <c r="D207" t="s">
        <v>934</v>
      </c>
      <c r="E207" t="s">
        <v>261</v>
      </c>
      <c r="F207" t="s">
        <v>935</v>
      </c>
      <c r="G207" t="s">
        <v>936</v>
      </c>
      <c r="H207">
        <v>0.9</v>
      </c>
      <c r="I207" t="s">
        <v>264</v>
      </c>
      <c r="J207" t="str">
        <f t="shared" si="3"/>
        <v>Concern content - FAMILY A</v>
      </c>
      <c r="K207"/>
      <c r="N207" t="str">
        <f>IFERROR(INDEX('Hoja 1 - Supabase Transcripts'!$A:$DN,MATCH(A207,'Hoja 1 - Supabase Transcripts'!$A:$A,0),MATCH("gap_segmentation_"&amp;E207,'Hoja 1 - Supabase Transcripts'!$2:$2,0)),"not found")</f>
        <v>not found</v>
      </c>
    </row>
    <row r="208" spans="1:14" ht="409.5" customHeight="1">
      <c r="A208" t="s">
        <v>238</v>
      </c>
      <c r="B208">
        <v>2</v>
      </c>
      <c r="C208" t="s">
        <v>912</v>
      </c>
      <c r="D208" t="s">
        <v>937</v>
      </c>
      <c r="E208" t="s">
        <v>261</v>
      </c>
      <c r="F208" t="s">
        <v>938</v>
      </c>
      <c r="G208" t="s">
        <v>939</v>
      </c>
      <c r="H208">
        <v>0.95</v>
      </c>
      <c r="I208" t="s">
        <v>264</v>
      </c>
      <c r="J208" t="str">
        <f t="shared" si="3"/>
        <v>Concern content - FAMILY A</v>
      </c>
      <c r="K208"/>
      <c r="N208" t="str">
        <f>IFERROR(INDEX('Hoja 1 - Supabase Transcripts'!$A:$DN,MATCH(A208,'Hoja 1 - Supabase Transcripts'!$A:$A,0),MATCH("gap_segmentation_"&amp;E208,'Hoja 1 - Supabase Transcripts'!$2:$2,0)),"not found")</f>
        <v>not found</v>
      </c>
    </row>
    <row r="209" spans="1:14" ht="409.5" customHeight="1">
      <c r="A209" t="s">
        <v>238</v>
      </c>
      <c r="B209">
        <v>2</v>
      </c>
      <c r="C209" t="s">
        <v>912</v>
      </c>
      <c r="D209" t="s">
        <v>940</v>
      </c>
      <c r="E209" t="s">
        <v>261</v>
      </c>
      <c r="F209" t="s">
        <v>941</v>
      </c>
      <c r="G209" t="s">
        <v>942</v>
      </c>
      <c r="H209">
        <v>0.95</v>
      </c>
      <c r="I209" t="s">
        <v>264</v>
      </c>
      <c r="J209" t="str">
        <f t="shared" si="3"/>
        <v>Concern content - FAMILY A</v>
      </c>
      <c r="K209"/>
      <c r="N209" t="str">
        <f>IFERROR(INDEX('Hoja 1 - Supabase Transcripts'!$A:$DN,MATCH(A209,'Hoja 1 - Supabase Transcripts'!$A:$A,0),MATCH("gap_segmentation_"&amp;E209,'Hoja 1 - Supabase Transcripts'!$2:$2,0)),"not found")</f>
        <v>not found</v>
      </c>
    </row>
    <row r="210" spans="1:14" ht="409.5" customHeight="1">
      <c r="A210" t="s">
        <v>238</v>
      </c>
      <c r="B210">
        <v>2</v>
      </c>
      <c r="C210" t="s">
        <v>912</v>
      </c>
      <c r="D210" t="s">
        <v>943</v>
      </c>
      <c r="E210" t="s">
        <v>261</v>
      </c>
      <c r="F210" t="s">
        <v>944</v>
      </c>
      <c r="G210" t="s">
        <v>945</v>
      </c>
      <c r="H210">
        <v>0.85</v>
      </c>
      <c r="I210" t="s">
        <v>264</v>
      </c>
      <c r="J210" t="str">
        <f t="shared" si="3"/>
        <v>Concern content - FAMILY A</v>
      </c>
      <c r="K210"/>
      <c r="N210" t="str">
        <f>IFERROR(INDEX('Hoja 1 - Supabase Transcripts'!$A:$DN,MATCH(A210,'Hoja 1 - Supabase Transcripts'!$A:$A,0),MATCH("gap_segmentation_"&amp;E210,'Hoja 1 - Supabase Transcripts'!$2:$2,0)),"not found")</f>
        <v>not found</v>
      </c>
    </row>
    <row r="211" spans="1:14" ht="409.5" customHeight="1">
      <c r="A211" t="s">
        <v>238</v>
      </c>
      <c r="B211">
        <v>2</v>
      </c>
      <c r="C211" t="s">
        <v>912</v>
      </c>
      <c r="D211" t="s">
        <v>946</v>
      </c>
      <c r="E211" t="s">
        <v>261</v>
      </c>
      <c r="F211" t="s">
        <v>947</v>
      </c>
      <c r="G211" t="s">
        <v>948</v>
      </c>
      <c r="H211">
        <v>0.9</v>
      </c>
      <c r="I211" t="s">
        <v>264</v>
      </c>
      <c r="J211" t="str">
        <f t="shared" si="3"/>
        <v>Concern content - FAMILY A</v>
      </c>
      <c r="K211"/>
      <c r="N211" t="str">
        <f>IFERROR(INDEX('Hoja 1 - Supabase Transcripts'!$A:$DN,MATCH(A211,'Hoja 1 - Supabase Transcripts'!$A:$A,0),MATCH("gap_segmentation_"&amp;E211,'Hoja 1 - Supabase Transcripts'!$2:$2,0)),"not found")</f>
        <v>not found</v>
      </c>
    </row>
    <row r="212" spans="1:14" ht="409.5" customHeight="1">
      <c r="A212" t="s">
        <v>202</v>
      </c>
      <c r="B212">
        <v>1</v>
      </c>
      <c r="C212" t="s">
        <v>949</v>
      </c>
      <c r="D212" t="s">
        <v>950</v>
      </c>
      <c r="E212" s="19" t="s">
        <v>256</v>
      </c>
      <c r="F212" t="s">
        <v>951</v>
      </c>
      <c r="G212" t="s">
        <v>952</v>
      </c>
      <c r="H212">
        <v>0.8</v>
      </c>
      <c r="I212" t="s">
        <v>293</v>
      </c>
      <c r="J212" t="str">
        <f t="shared" si="3"/>
        <v>Protective attribution shifting</v>
      </c>
      <c r="K212" t="e">
        <f>_xlfn.XLOOKUP(J212,#REF!,#REF!,"0",0,1)</f>
        <v>#REF!</v>
      </c>
      <c r="N212" t="str">
        <f>IFERROR(INDEX('Hoja 1 - Supabase Transcripts'!$A:$DN,MATCH(A212,'Hoja 1 - Supabase Transcripts'!$A:$A,0),MATCH("gap_segmentation_"&amp;E212,'Hoja 1 - Supabase Transcripts'!$2:$2,0)),"not found")</f>
        <v>not found</v>
      </c>
    </row>
    <row r="213" spans="1:14" ht="409.5" customHeight="1">
      <c r="A213" t="s">
        <v>202</v>
      </c>
      <c r="B213">
        <v>1</v>
      </c>
      <c r="C213" t="s">
        <v>949</v>
      </c>
      <c r="D213" t="s">
        <v>953</v>
      </c>
      <c r="E213" t="s">
        <v>261</v>
      </c>
      <c r="F213" t="s">
        <v>954</v>
      </c>
      <c r="G213" t="s">
        <v>955</v>
      </c>
      <c r="H213">
        <v>0.85</v>
      </c>
      <c r="I213" t="s">
        <v>330</v>
      </c>
      <c r="J213" t="str">
        <f t="shared" si="3"/>
        <v>Protective attribution shifting</v>
      </c>
      <c r="K213" t="e">
        <f>_xlfn.XLOOKUP(J213,#REF!,#REF!,"0",0,1)</f>
        <v>#REF!</v>
      </c>
      <c r="N213" t="str">
        <f>IFERROR(INDEX('Hoja 1 - Supabase Transcripts'!$A:$DN,MATCH(A213,'Hoja 1 - Supabase Transcripts'!$A:$A,0),MATCH("gap_segmentation_"&amp;E213,'Hoja 1 - Supabase Transcripts'!$2:$2,0)),"not found")</f>
        <v>not found</v>
      </c>
    </row>
    <row r="214" spans="1:14" ht="409.5" customHeight="1">
      <c r="A214" t="s">
        <v>202</v>
      </c>
      <c r="B214">
        <v>1</v>
      </c>
      <c r="C214" t="s">
        <v>949</v>
      </c>
      <c r="D214" t="s">
        <v>956</v>
      </c>
      <c r="E214" t="s">
        <v>261</v>
      </c>
      <c r="F214" t="s">
        <v>957</v>
      </c>
      <c r="G214" t="s">
        <v>958</v>
      </c>
      <c r="H214">
        <v>0.9</v>
      </c>
      <c r="I214" t="s">
        <v>264</v>
      </c>
      <c r="J214" t="str">
        <f t="shared" si="3"/>
        <v>Concern content - FAMILY A</v>
      </c>
      <c r="K214"/>
      <c r="N214" t="str">
        <f>IFERROR(INDEX('Hoja 1 - Supabase Transcripts'!$A:$DN,MATCH(A214,'Hoja 1 - Supabase Transcripts'!$A:$A,0),MATCH("gap_segmentation_"&amp;E214,'Hoja 1 - Supabase Transcripts'!$2:$2,0)),"not found")</f>
        <v>not found</v>
      </c>
    </row>
    <row r="215" spans="1:14" ht="409.5" customHeight="1">
      <c r="A215" t="s">
        <v>202</v>
      </c>
      <c r="B215">
        <v>1</v>
      </c>
      <c r="C215" t="s">
        <v>949</v>
      </c>
      <c r="D215" t="s">
        <v>959</v>
      </c>
      <c r="E215" t="s">
        <v>266</v>
      </c>
      <c r="F215" t="s">
        <v>960</v>
      </c>
      <c r="G215" t="s">
        <v>961</v>
      </c>
      <c r="H215">
        <v>0.95</v>
      </c>
      <c r="I215" t="s">
        <v>264</v>
      </c>
      <c r="J215" t="str">
        <f t="shared" si="3"/>
        <v>Concern content - FAMILY A</v>
      </c>
      <c r="K215"/>
      <c r="N215" t="str">
        <f>IFERROR(INDEX('Hoja 1 - Supabase Transcripts'!$A:$DN,MATCH(A215,'Hoja 1 - Supabase Transcripts'!$A:$A,0),MATCH("gap_segmentation_"&amp;E215,'Hoja 1 - Supabase Transcripts'!$2:$2,0)),"not found")</f>
        <v>not found</v>
      </c>
    </row>
    <row r="216" spans="1:14" ht="409.5" customHeight="1">
      <c r="A216" t="s">
        <v>202</v>
      </c>
      <c r="B216">
        <v>1</v>
      </c>
      <c r="C216" t="s">
        <v>949</v>
      </c>
      <c r="D216" t="s">
        <v>962</v>
      </c>
      <c r="E216" t="s">
        <v>266</v>
      </c>
      <c r="F216" t="s">
        <v>963</v>
      </c>
      <c r="G216" t="s">
        <v>964</v>
      </c>
      <c r="H216">
        <v>0.95</v>
      </c>
      <c r="I216" t="s">
        <v>264</v>
      </c>
      <c r="J216" t="str">
        <f t="shared" si="3"/>
        <v>Concern content - FAMILY A</v>
      </c>
      <c r="K216"/>
      <c r="N216" t="str">
        <f>IFERROR(INDEX('Hoja 1 - Supabase Transcripts'!$A:$DN,MATCH(A216,'Hoja 1 - Supabase Transcripts'!$A:$A,0),MATCH("gap_segmentation_"&amp;E216,'Hoja 1 - Supabase Transcripts'!$2:$2,0)),"not found")</f>
        <v>not found</v>
      </c>
    </row>
    <row r="217" spans="1:14" ht="409.5" customHeight="1">
      <c r="A217" t="s">
        <v>206</v>
      </c>
      <c r="B217">
        <v>1</v>
      </c>
      <c r="C217" t="s">
        <v>965</v>
      </c>
      <c r="D217" t="s">
        <v>966</v>
      </c>
      <c r="E217" t="s">
        <v>261</v>
      </c>
      <c r="F217" t="s">
        <v>967</v>
      </c>
      <c r="G217" t="s">
        <v>968</v>
      </c>
      <c r="H217">
        <v>0.9</v>
      </c>
      <c r="I217" t="s">
        <v>326</v>
      </c>
      <c r="J217" t="str">
        <f t="shared" si="3"/>
        <v>Hedged, qualified disclosure</v>
      </c>
      <c r="K217" t="e">
        <f>_xlfn.XLOOKUP(J217,#REF!,#REF!,"0",0,1)</f>
        <v>#REF!</v>
      </c>
      <c r="N217" t="str">
        <f>IFERROR(INDEX('Hoja 1 - Supabase Transcripts'!$A:$DN,MATCH(A217,'Hoja 1 - Supabase Transcripts'!$A:$A,0),MATCH("gap_segmentation_"&amp;E217,'Hoja 1 - Supabase Transcripts'!$2:$2,0)),"not found")</f>
        <v>not found</v>
      </c>
    </row>
    <row r="218" spans="1:14" ht="409.5" customHeight="1">
      <c r="A218" t="s">
        <v>206</v>
      </c>
      <c r="B218">
        <v>1</v>
      </c>
      <c r="C218" t="s">
        <v>965</v>
      </c>
      <c r="D218" t="s">
        <v>969</v>
      </c>
      <c r="E218" t="s">
        <v>261</v>
      </c>
      <c r="F218" t="s">
        <v>970</v>
      </c>
      <c r="G218" t="s">
        <v>971</v>
      </c>
      <c r="H218">
        <v>0.82</v>
      </c>
      <c r="I218" t="s">
        <v>264</v>
      </c>
      <c r="J218" t="str">
        <f t="shared" si="3"/>
        <v>Concern content - FAMILY A</v>
      </c>
      <c r="K218"/>
      <c r="N218" t="str">
        <f>IFERROR(INDEX('Hoja 1 - Supabase Transcripts'!$A:$DN,MATCH(A218,'Hoja 1 - Supabase Transcripts'!$A:$A,0),MATCH("gap_segmentation_"&amp;E218,'Hoja 1 - Supabase Transcripts'!$2:$2,0)),"not found")</f>
        <v>not found</v>
      </c>
    </row>
    <row r="219" spans="1:14" ht="409.5" customHeight="1">
      <c r="A219" t="s">
        <v>206</v>
      </c>
      <c r="B219">
        <v>1</v>
      </c>
      <c r="C219" t="s">
        <v>965</v>
      </c>
      <c r="D219" t="s">
        <v>972</v>
      </c>
      <c r="E219" t="s">
        <v>261</v>
      </c>
      <c r="F219" t="s">
        <v>973</v>
      </c>
      <c r="G219" t="s">
        <v>974</v>
      </c>
      <c r="H219">
        <v>0.88</v>
      </c>
      <c r="I219" t="s">
        <v>274</v>
      </c>
      <c r="J219" t="str">
        <f t="shared" si="3"/>
        <v>FAMILY_A_CONCERN_CONTENT</v>
      </c>
      <c r="K219"/>
      <c r="N219" t="str">
        <f>IFERROR(INDEX('Hoja 1 - Supabase Transcripts'!$A:$DN,MATCH(A219,'Hoja 1 - Supabase Transcripts'!$A:$A,0),MATCH("gap_segmentation_"&amp;E219,'Hoja 1 - Supabase Transcripts'!$2:$2,0)),"not found")</f>
        <v>not found</v>
      </c>
    </row>
    <row r="220" spans="1:14" ht="409.5" customHeight="1">
      <c r="A220" t="s">
        <v>206</v>
      </c>
      <c r="B220">
        <v>1</v>
      </c>
      <c r="C220" t="s">
        <v>965</v>
      </c>
      <c r="D220" t="s">
        <v>975</v>
      </c>
      <c r="E220" t="s">
        <v>261</v>
      </c>
      <c r="F220" t="s">
        <v>976</v>
      </c>
      <c r="G220" t="s">
        <v>977</v>
      </c>
      <c r="H220">
        <v>0.85</v>
      </c>
      <c r="I220" t="s">
        <v>264</v>
      </c>
      <c r="J220" t="str">
        <f t="shared" si="3"/>
        <v>Concern content - FAMILY A</v>
      </c>
      <c r="K220"/>
      <c r="N220" t="str">
        <f>IFERROR(INDEX('Hoja 1 - Supabase Transcripts'!$A:$DN,MATCH(A220,'Hoja 1 - Supabase Transcripts'!$A:$A,0),MATCH("gap_segmentation_"&amp;E220,'Hoja 1 - Supabase Transcripts'!$2:$2,0)),"not found")</f>
        <v>not found</v>
      </c>
    </row>
    <row r="221" spans="1:14" ht="409.5" customHeight="1">
      <c r="A221" t="s">
        <v>206</v>
      </c>
      <c r="B221">
        <v>1</v>
      </c>
      <c r="C221" t="s">
        <v>965</v>
      </c>
      <c r="D221" t="s">
        <v>978</v>
      </c>
      <c r="E221" t="s">
        <v>261</v>
      </c>
      <c r="F221" t="s">
        <v>979</v>
      </c>
      <c r="G221" t="s">
        <v>980</v>
      </c>
      <c r="H221">
        <v>0.88</v>
      </c>
      <c r="I221" t="s">
        <v>274</v>
      </c>
      <c r="J221" t="str">
        <f t="shared" si="3"/>
        <v>FAMILY_A_CONCERN_CONTENT</v>
      </c>
      <c r="K221"/>
      <c r="N221" t="str">
        <f>IFERROR(INDEX('Hoja 1 - Supabase Transcripts'!$A:$DN,MATCH(A221,'Hoja 1 - Supabase Transcripts'!$A:$A,0),MATCH("gap_segmentation_"&amp;E221,'Hoja 1 - Supabase Transcripts'!$2:$2,0)),"not found")</f>
        <v>not found</v>
      </c>
    </row>
    <row r="222" spans="1:14" ht="409.5" customHeight="1">
      <c r="A222" t="s">
        <v>206</v>
      </c>
      <c r="B222">
        <v>1</v>
      </c>
      <c r="C222" t="s">
        <v>965</v>
      </c>
      <c r="D222" t="s">
        <v>981</v>
      </c>
      <c r="E222" t="s">
        <v>261</v>
      </c>
      <c r="F222" t="s">
        <v>982</v>
      </c>
      <c r="G222" t="s">
        <v>983</v>
      </c>
      <c r="H222">
        <v>0.85</v>
      </c>
      <c r="I222" t="s">
        <v>285</v>
      </c>
      <c r="J222" t="str">
        <f t="shared" si="3"/>
        <v>Anticipated futility of voice</v>
      </c>
      <c r="K222" t="e">
        <f>_xlfn.XLOOKUP(J222,#REF!,#REF!,"0",0,1)</f>
        <v>#REF!</v>
      </c>
      <c r="N222" t="str">
        <f>IFERROR(INDEX('Hoja 1 - Supabase Transcripts'!$A:$DN,MATCH(A222,'Hoja 1 - Supabase Transcripts'!$A:$A,0),MATCH("gap_segmentation_"&amp;E222,'Hoja 1 - Supabase Transcripts'!$2:$2,0)),"not found")</f>
        <v>not found</v>
      </c>
    </row>
    <row r="223" spans="1:14" ht="409.5" customHeight="1">
      <c r="A223" t="s">
        <v>206</v>
      </c>
      <c r="B223">
        <v>1</v>
      </c>
      <c r="C223" t="s">
        <v>965</v>
      </c>
      <c r="D223" t="s">
        <v>984</v>
      </c>
      <c r="E223" t="s">
        <v>261</v>
      </c>
      <c r="F223" t="s">
        <v>985</v>
      </c>
      <c r="G223" t="s">
        <v>986</v>
      </c>
      <c r="H223">
        <v>0.87</v>
      </c>
      <c r="I223" t="s">
        <v>293</v>
      </c>
      <c r="J223" t="str">
        <f t="shared" si="3"/>
        <v>Protective attribution shifting</v>
      </c>
      <c r="K223" t="e">
        <f>_xlfn.XLOOKUP(J223,#REF!,#REF!,"0",0,1)</f>
        <v>#REF!</v>
      </c>
      <c r="N223" t="str">
        <f>IFERROR(INDEX('Hoja 1 - Supabase Transcripts'!$A:$DN,MATCH(A223,'Hoja 1 - Supabase Transcripts'!$A:$A,0),MATCH("gap_segmentation_"&amp;E223,'Hoja 1 - Supabase Transcripts'!$2:$2,0)),"not found")</f>
        <v>not found</v>
      </c>
    </row>
    <row r="224" spans="1:14" ht="409.5" customHeight="1">
      <c r="A224" t="s">
        <v>206</v>
      </c>
      <c r="B224">
        <v>1</v>
      </c>
      <c r="C224" t="s">
        <v>965</v>
      </c>
      <c r="D224" t="s">
        <v>987</v>
      </c>
      <c r="E224" t="s">
        <v>261</v>
      </c>
      <c r="F224" t="s">
        <v>988</v>
      </c>
      <c r="G224" t="s">
        <v>989</v>
      </c>
      <c r="H224">
        <v>0.9</v>
      </c>
      <c r="I224" t="s">
        <v>264</v>
      </c>
      <c r="J224" t="str">
        <f t="shared" si="3"/>
        <v>Concern content - FAMILY A</v>
      </c>
      <c r="K224"/>
      <c r="N224" t="str">
        <f>IFERROR(INDEX('Hoja 1 - Supabase Transcripts'!$A:$DN,MATCH(A224,'Hoja 1 - Supabase Transcripts'!$A:$A,0),MATCH("gap_segmentation_"&amp;E224,'Hoja 1 - Supabase Transcripts'!$2:$2,0)),"not found")</f>
        <v>not found</v>
      </c>
    </row>
    <row r="225" spans="1:14" ht="409.5" customHeight="1">
      <c r="A225" t="s">
        <v>206</v>
      </c>
      <c r="B225">
        <v>1</v>
      </c>
      <c r="C225" t="s">
        <v>965</v>
      </c>
      <c r="D225" t="s">
        <v>990</v>
      </c>
      <c r="E225" t="s">
        <v>261</v>
      </c>
      <c r="F225" t="s">
        <v>991</v>
      </c>
      <c r="G225" t="s">
        <v>992</v>
      </c>
      <c r="H225">
        <v>0.92</v>
      </c>
      <c r="I225" t="s">
        <v>293</v>
      </c>
      <c r="J225" t="str">
        <f t="shared" si="3"/>
        <v>Protective attribution shifting</v>
      </c>
      <c r="K225" t="e">
        <f>_xlfn.XLOOKUP(J225,#REF!,#REF!,"0",0,1)</f>
        <v>#REF!</v>
      </c>
      <c r="N225" t="str">
        <f>IFERROR(INDEX('Hoja 1 - Supabase Transcripts'!$A:$DN,MATCH(A225,'Hoja 1 - Supabase Transcripts'!$A:$A,0),MATCH("gap_segmentation_"&amp;E225,'Hoja 1 - Supabase Transcripts'!$2:$2,0)),"not found")</f>
        <v>not found</v>
      </c>
    </row>
    <row r="226" spans="1:14" ht="409.5" customHeight="1">
      <c r="A226" t="s">
        <v>206</v>
      </c>
      <c r="B226">
        <v>1</v>
      </c>
      <c r="C226" t="s">
        <v>965</v>
      </c>
      <c r="D226" t="s">
        <v>993</v>
      </c>
      <c r="E226" t="s">
        <v>261</v>
      </c>
      <c r="F226" t="s">
        <v>994</v>
      </c>
      <c r="G226" t="s">
        <v>995</v>
      </c>
      <c r="H226">
        <v>0.9</v>
      </c>
      <c r="I226" t="s">
        <v>264</v>
      </c>
      <c r="J226" t="str">
        <f t="shared" si="3"/>
        <v>Concern content - FAMILY A</v>
      </c>
      <c r="K226"/>
      <c r="N226" t="str">
        <f>IFERROR(INDEX('Hoja 1 - Supabase Transcripts'!$A:$DN,MATCH(A226,'Hoja 1 - Supabase Transcripts'!$A:$A,0),MATCH("gap_segmentation_"&amp;E226,'Hoja 1 - Supabase Transcripts'!$2:$2,0)),"not found")</f>
        <v>not found</v>
      </c>
    </row>
    <row r="227" spans="1:14" ht="409.5" customHeight="1">
      <c r="A227" t="s">
        <v>206</v>
      </c>
      <c r="B227">
        <v>1</v>
      </c>
      <c r="C227" t="s">
        <v>965</v>
      </c>
      <c r="D227" t="s">
        <v>996</v>
      </c>
      <c r="E227" t="s">
        <v>261</v>
      </c>
      <c r="F227" t="s">
        <v>997</v>
      </c>
      <c r="G227" t="s">
        <v>998</v>
      </c>
      <c r="H227">
        <v>0.92</v>
      </c>
      <c r="I227" t="s">
        <v>281</v>
      </c>
      <c r="J227" t="str">
        <f t="shared" si="3"/>
        <v>Aspirational framing of unmet needs</v>
      </c>
      <c r="K227" t="e">
        <f>_xlfn.XLOOKUP(J227,#REF!,#REF!,"0",0,1)</f>
        <v>#REF!</v>
      </c>
      <c r="N227" t="str">
        <f>IFERROR(INDEX('Hoja 1 - Supabase Transcripts'!$A:$DN,MATCH(A227,'Hoja 1 - Supabase Transcripts'!$A:$A,0),MATCH("gap_segmentation_"&amp;E227,'Hoja 1 - Supabase Transcripts'!$2:$2,0)),"not found")</f>
        <v>not found</v>
      </c>
    </row>
    <row r="228" spans="1:14" ht="409.5" customHeight="1">
      <c r="A228" t="s">
        <v>206</v>
      </c>
      <c r="B228">
        <v>1</v>
      </c>
      <c r="C228" t="s">
        <v>965</v>
      </c>
      <c r="D228" t="s">
        <v>999</v>
      </c>
      <c r="E228" t="s">
        <v>261</v>
      </c>
      <c r="F228" t="s">
        <v>1000</v>
      </c>
      <c r="G228" t="s">
        <v>1001</v>
      </c>
      <c r="H228">
        <v>0.95</v>
      </c>
      <c r="I228" t="s">
        <v>264</v>
      </c>
      <c r="J228" t="str">
        <f t="shared" si="3"/>
        <v>Concern content - FAMILY A</v>
      </c>
      <c r="K228"/>
      <c r="N228" t="str">
        <f>IFERROR(INDEX('Hoja 1 - Supabase Transcripts'!$A:$DN,MATCH(A228,'Hoja 1 - Supabase Transcripts'!$A:$A,0),MATCH("gap_segmentation_"&amp;E228,'Hoja 1 - Supabase Transcripts'!$2:$2,0)),"not found")</f>
        <v>not found</v>
      </c>
    </row>
    <row r="229" spans="1:14" ht="409.5" customHeight="1">
      <c r="A229" t="s">
        <v>182</v>
      </c>
      <c r="B229">
        <v>1</v>
      </c>
      <c r="C229" t="s">
        <v>1002</v>
      </c>
      <c r="D229" t="s">
        <v>1003</v>
      </c>
      <c r="E229" t="s">
        <v>256</v>
      </c>
      <c r="F229" t="s">
        <v>1004</v>
      </c>
      <c r="G229" t="s">
        <v>1005</v>
      </c>
      <c r="H229">
        <v>0.7</v>
      </c>
      <c r="I229" t="s">
        <v>264</v>
      </c>
      <c r="J229" t="str">
        <f t="shared" si="3"/>
        <v>Concern content - FAMILY A</v>
      </c>
      <c r="K229"/>
      <c r="N229" t="str">
        <f>IFERROR(INDEX('Hoja 1 - Supabase Transcripts'!$A:$DN,MATCH(A229,'Hoja 1 - Supabase Transcripts'!$A:$A,0),MATCH("gap_segmentation_"&amp;E229,'Hoja 1 - Supabase Transcripts'!$2:$2,0)),"not found")</f>
        <v>not found</v>
      </c>
    </row>
    <row r="230" spans="1:14" ht="409.5" customHeight="1">
      <c r="A230" t="s">
        <v>182</v>
      </c>
      <c r="B230">
        <v>1</v>
      </c>
      <c r="C230" t="s">
        <v>1002</v>
      </c>
      <c r="D230" t="s">
        <v>1006</v>
      </c>
      <c r="E230" t="s">
        <v>261</v>
      </c>
      <c r="F230" t="s">
        <v>1007</v>
      </c>
      <c r="G230" t="s">
        <v>1008</v>
      </c>
      <c r="H230">
        <v>0.75</v>
      </c>
      <c r="I230" t="s">
        <v>264</v>
      </c>
      <c r="J230" t="str">
        <f t="shared" si="3"/>
        <v>Concern content - FAMILY A</v>
      </c>
      <c r="K230"/>
      <c r="N230" t="str">
        <f>IFERROR(INDEX('Hoja 1 - Supabase Transcripts'!$A:$DN,MATCH(A230,'Hoja 1 - Supabase Transcripts'!$A:$A,0),MATCH("gap_segmentation_"&amp;E230,'Hoja 1 - Supabase Transcripts'!$2:$2,0)),"not found")</f>
        <v>not found</v>
      </c>
    </row>
    <row r="231" spans="1:14" ht="409.5" customHeight="1">
      <c r="A231" t="s">
        <v>182</v>
      </c>
      <c r="B231">
        <v>1</v>
      </c>
      <c r="C231" t="s">
        <v>1002</v>
      </c>
      <c r="D231" t="s">
        <v>1009</v>
      </c>
      <c r="E231" t="s">
        <v>261</v>
      </c>
      <c r="F231" t="s">
        <v>1010</v>
      </c>
      <c r="G231" t="s">
        <v>1011</v>
      </c>
      <c r="H231">
        <v>0.65</v>
      </c>
      <c r="I231" t="s">
        <v>259</v>
      </c>
      <c r="J231" t="str">
        <f t="shared" si="3"/>
        <v>Rationalizing leadership absence</v>
      </c>
      <c r="K231" t="e">
        <f>_xlfn.XLOOKUP(J231,#REF!,#REF!,"0",0,1)</f>
        <v>#REF!</v>
      </c>
      <c r="N231" t="str">
        <f>IFERROR(INDEX('Hoja 1 - Supabase Transcripts'!$A:$DN,MATCH(A231,'Hoja 1 - Supabase Transcripts'!$A:$A,0),MATCH("gap_segmentation_"&amp;E231,'Hoja 1 - Supabase Transcripts'!$2:$2,0)),"not found")</f>
        <v>not found</v>
      </c>
    </row>
    <row r="232" spans="1:14" ht="409.5" customHeight="1">
      <c r="A232" t="s">
        <v>182</v>
      </c>
      <c r="B232">
        <v>1</v>
      </c>
      <c r="C232" t="s">
        <v>1002</v>
      </c>
      <c r="D232" t="s">
        <v>1012</v>
      </c>
      <c r="E232" s="16" t="s">
        <v>266</v>
      </c>
      <c r="F232" t="s">
        <v>1013</v>
      </c>
      <c r="G232" t="s">
        <v>1014</v>
      </c>
      <c r="H232">
        <v>0.85</v>
      </c>
      <c r="I232" t="s">
        <v>289</v>
      </c>
      <c r="J232" t="str">
        <f t="shared" si="3"/>
        <v>Normalization of extreme conditions</v>
      </c>
      <c r="K232" t="e">
        <f>_xlfn.XLOOKUP(J232,#REF!,#REF!,"0",0,1)</f>
        <v>#REF!</v>
      </c>
      <c r="N232" t="str">
        <f>IFERROR(INDEX('Hoja 1 - Supabase Transcripts'!$A:$DN,MATCH(A232,'Hoja 1 - Supabase Transcripts'!$A:$A,0),MATCH("gap_segmentation_"&amp;E232,'Hoja 1 - Supabase Transcripts'!$2:$2,0)),"not found")</f>
        <v>not found</v>
      </c>
    </row>
    <row r="233" spans="1:14" ht="409.5" customHeight="1">
      <c r="A233" t="s">
        <v>190</v>
      </c>
      <c r="B233">
        <v>1</v>
      </c>
      <c r="C233" t="s">
        <v>1015</v>
      </c>
      <c r="D233" t="s">
        <v>1016</v>
      </c>
      <c r="E233" t="s">
        <v>313</v>
      </c>
      <c r="F233" t="s">
        <v>1017</v>
      </c>
      <c r="G233" t="s">
        <v>1018</v>
      </c>
      <c r="H233">
        <v>0.8</v>
      </c>
      <c r="I233" t="s">
        <v>264</v>
      </c>
      <c r="J233" t="str">
        <f t="shared" si="3"/>
        <v>Concern content - FAMILY A</v>
      </c>
      <c r="K233"/>
      <c r="N233" t="str">
        <f>IFERROR(INDEX('Hoja 1 - Supabase Transcripts'!$A:$DN,MATCH(A233,'Hoja 1 - Supabase Transcripts'!$A:$A,0),MATCH("gap_segmentation_"&amp;E233,'Hoja 1 - Supabase Transcripts'!$2:$2,0)),"not found")</f>
        <v>not found</v>
      </c>
    </row>
    <row r="234" spans="1:14" ht="409.5" customHeight="1">
      <c r="A234" t="s">
        <v>190</v>
      </c>
      <c r="B234">
        <v>1</v>
      </c>
      <c r="C234" t="s">
        <v>1015</v>
      </c>
      <c r="D234" t="s">
        <v>1019</v>
      </c>
      <c r="E234" t="s">
        <v>261</v>
      </c>
      <c r="F234" t="s">
        <v>1020</v>
      </c>
      <c r="G234" t="s">
        <v>1021</v>
      </c>
      <c r="H234">
        <v>0.75</v>
      </c>
      <c r="I234" t="s">
        <v>264</v>
      </c>
      <c r="J234" t="str">
        <f t="shared" si="3"/>
        <v>Concern content - FAMILY A</v>
      </c>
      <c r="K234"/>
      <c r="N234" t="str">
        <f>IFERROR(INDEX('Hoja 1 - Supabase Transcripts'!$A:$DN,MATCH(A234,'Hoja 1 - Supabase Transcripts'!$A:$A,0),MATCH("gap_segmentation_"&amp;E234,'Hoja 1 - Supabase Transcripts'!$2:$2,0)),"not found")</f>
        <v>not found</v>
      </c>
    </row>
    <row r="235" spans="1:14" ht="409.5" customHeight="1">
      <c r="A235" t="s">
        <v>237</v>
      </c>
      <c r="B235">
        <v>3</v>
      </c>
      <c r="C235" t="s">
        <v>1022</v>
      </c>
      <c r="D235" t="s">
        <v>1023</v>
      </c>
      <c r="E235" t="s">
        <v>313</v>
      </c>
      <c r="F235" t="s">
        <v>1024</v>
      </c>
      <c r="G235" t="s">
        <v>1025</v>
      </c>
      <c r="H235">
        <v>0.85</v>
      </c>
      <c r="I235" t="s">
        <v>264</v>
      </c>
      <c r="J235" t="str">
        <f t="shared" si="3"/>
        <v>Concern content - FAMILY A</v>
      </c>
      <c r="K235"/>
      <c r="N235" t="str">
        <f>IFERROR(INDEX('Hoja 1 - Supabase Transcripts'!$A:$DN,MATCH(A235,'Hoja 1 - Supabase Transcripts'!$A:$A,0),MATCH("gap_segmentation_"&amp;E235,'Hoja 1 - Supabase Transcripts'!$2:$2,0)),"not found")</f>
        <v>not found</v>
      </c>
    </row>
    <row r="236" spans="1:14" ht="409.5" customHeight="1">
      <c r="A236" t="s">
        <v>237</v>
      </c>
      <c r="B236">
        <v>3</v>
      </c>
      <c r="C236" t="s">
        <v>1022</v>
      </c>
      <c r="D236" t="s">
        <v>1026</v>
      </c>
      <c r="E236" s="16" t="s">
        <v>266</v>
      </c>
      <c r="F236" t="s">
        <v>1027</v>
      </c>
      <c r="G236" t="s">
        <v>1028</v>
      </c>
      <c r="H236">
        <v>0.95</v>
      </c>
      <c r="I236" t="s">
        <v>289</v>
      </c>
      <c r="J236" t="str">
        <f t="shared" si="3"/>
        <v>Normalization of extreme conditions</v>
      </c>
      <c r="K236" t="e">
        <f>_xlfn.XLOOKUP(J236,#REF!,#REF!,"0",0,1)</f>
        <v>#REF!</v>
      </c>
      <c r="N236" t="str">
        <f>IFERROR(INDEX('Hoja 1 - Supabase Transcripts'!$A:$DN,MATCH(A236,'Hoja 1 - Supabase Transcripts'!$A:$A,0),MATCH("gap_segmentation_"&amp;E236,'Hoja 1 - Supabase Transcripts'!$2:$2,0)),"not found")</f>
        <v>not found</v>
      </c>
    </row>
    <row r="237" spans="1:14" ht="306" customHeight="1">
      <c r="A237" t="s">
        <v>167</v>
      </c>
      <c r="B237">
        <v>1</v>
      </c>
      <c r="C237" t="s">
        <v>1029</v>
      </c>
      <c r="D237" t="s">
        <v>1030</v>
      </c>
      <c r="E237" t="s">
        <v>313</v>
      </c>
      <c r="F237" t="s">
        <v>1031</v>
      </c>
      <c r="G237" t="s">
        <v>1032</v>
      </c>
      <c r="H237">
        <v>0.75</v>
      </c>
      <c r="I237" t="s">
        <v>264</v>
      </c>
      <c r="J237" t="str">
        <f t="shared" si="3"/>
        <v>Concern content - FAMILY A</v>
      </c>
      <c r="K237"/>
      <c r="N237" t="str">
        <f>IFERROR(INDEX('Hoja 1 - Supabase Transcripts'!$A:$DN,MATCH(A237,'Hoja 1 - Supabase Transcripts'!$A:$A,0),MATCH("gap_segmentation_"&amp;E237,'Hoja 1 - Supabase Transcripts'!$2:$2,0)),"not found")</f>
        <v>not found</v>
      </c>
    </row>
    <row r="238" spans="1:14" ht="306" customHeight="1">
      <c r="A238" t="s">
        <v>227</v>
      </c>
      <c r="B238">
        <v>3</v>
      </c>
      <c r="C238" t="s">
        <v>1033</v>
      </c>
      <c r="D238" t="s">
        <v>1034</v>
      </c>
      <c r="E238" s="16" t="s">
        <v>266</v>
      </c>
      <c r="F238" t="s">
        <v>1035</v>
      </c>
      <c r="G238" t="s">
        <v>1036</v>
      </c>
      <c r="H238">
        <v>0.85</v>
      </c>
      <c r="I238" t="s">
        <v>289</v>
      </c>
      <c r="J238" t="str">
        <f t="shared" si="3"/>
        <v>Normalization of extreme conditions</v>
      </c>
      <c r="K238" t="e">
        <f>_xlfn.XLOOKUP(J238,#REF!,#REF!,"0",0,1)</f>
        <v>#REF!</v>
      </c>
      <c r="N238" t="str">
        <f>IFERROR(INDEX('Hoja 1 - Supabase Transcripts'!$A:$DN,MATCH(A238,'Hoja 1 - Supabase Transcripts'!$A:$A,0),MATCH("gap_segmentation_"&amp;E238,'Hoja 1 - Supabase Transcripts'!$2:$2,0)),"not found")</f>
        <v>not found</v>
      </c>
    </row>
    <row r="239" spans="1:14" ht="409.5" customHeight="1">
      <c r="A239" t="s">
        <v>164</v>
      </c>
      <c r="B239">
        <v>1</v>
      </c>
      <c r="C239" t="s">
        <v>1037</v>
      </c>
      <c r="D239" t="s">
        <v>1038</v>
      </c>
      <c r="E239" t="s">
        <v>261</v>
      </c>
      <c r="F239" t="s">
        <v>1039</v>
      </c>
      <c r="G239" t="s">
        <v>1040</v>
      </c>
      <c r="H239">
        <v>0.9</v>
      </c>
      <c r="I239" t="s">
        <v>269</v>
      </c>
      <c r="J239" t="str">
        <f t="shared" si="3"/>
        <v>Hedged, qualified disclosure</v>
      </c>
      <c r="K239" t="e">
        <f>_xlfn.XLOOKUP(J239,#REF!,#REF!,"0",0,1)</f>
        <v>#REF!</v>
      </c>
      <c r="N239" t="str">
        <f>IFERROR(INDEX('Hoja 1 - Supabase Transcripts'!$A:$DN,MATCH(A239,'Hoja 1 - Supabase Transcripts'!$A:$A,0),MATCH("gap_segmentation_"&amp;E239,'Hoja 1 - Supabase Transcripts'!$2:$2,0)),"not found")</f>
        <v>not found</v>
      </c>
    </row>
    <row r="240" spans="1:14" ht="409.5" customHeight="1">
      <c r="A240" t="s">
        <v>164</v>
      </c>
      <c r="B240">
        <v>1</v>
      </c>
      <c r="C240" t="s">
        <v>1037</v>
      </c>
      <c r="D240" t="s">
        <v>1041</v>
      </c>
      <c r="E240" t="s">
        <v>261</v>
      </c>
      <c r="F240" t="s">
        <v>1042</v>
      </c>
      <c r="G240" t="s">
        <v>1043</v>
      </c>
      <c r="H240">
        <v>0.75</v>
      </c>
      <c r="I240" t="s">
        <v>281</v>
      </c>
      <c r="J240" t="str">
        <f t="shared" si="3"/>
        <v>Aspirational framing of unmet needs</v>
      </c>
      <c r="K240" t="e">
        <f>_xlfn.XLOOKUP(J240,#REF!,#REF!,"0",0,1)</f>
        <v>#REF!</v>
      </c>
      <c r="N240" t="str">
        <f>IFERROR(INDEX('Hoja 1 - Supabase Transcripts'!$A:$DN,MATCH(A240,'Hoja 1 - Supabase Transcripts'!$A:$A,0),MATCH("gap_segmentation_"&amp;E240,'Hoja 1 - Supabase Transcripts'!$2:$2,0)),"not found")</f>
        <v>not found</v>
      </c>
    </row>
    <row r="241" spans="1:14" ht="409.5" customHeight="1">
      <c r="A241" t="s">
        <v>164</v>
      </c>
      <c r="B241">
        <v>1</v>
      </c>
      <c r="C241" t="s">
        <v>1037</v>
      </c>
      <c r="D241" t="s">
        <v>1044</v>
      </c>
      <c r="E241" t="s">
        <v>266</v>
      </c>
      <c r="F241" t="s">
        <v>1045</v>
      </c>
      <c r="G241" t="s">
        <v>1046</v>
      </c>
      <c r="H241">
        <v>0.85</v>
      </c>
      <c r="I241" t="s">
        <v>264</v>
      </c>
      <c r="J241" t="str">
        <f t="shared" si="3"/>
        <v>Concern content - FAMILY A</v>
      </c>
      <c r="K241"/>
      <c r="N241" t="str">
        <f>IFERROR(INDEX('Hoja 1 - Supabase Transcripts'!$A:$DN,MATCH(A241,'Hoja 1 - Supabase Transcripts'!$A:$A,0),MATCH("gap_segmentation_"&amp;E241,'Hoja 1 - Supabase Transcripts'!$2:$2,0)),"not found")</f>
        <v>not found</v>
      </c>
    </row>
    <row r="242" spans="1:14" ht="409.5" customHeight="1">
      <c r="A242" t="s">
        <v>164</v>
      </c>
      <c r="B242">
        <v>1</v>
      </c>
      <c r="C242" t="s">
        <v>1037</v>
      </c>
      <c r="D242" t="s">
        <v>1047</v>
      </c>
      <c r="E242" t="s">
        <v>266</v>
      </c>
      <c r="F242" t="s">
        <v>1048</v>
      </c>
      <c r="G242" t="s">
        <v>1049</v>
      </c>
      <c r="H242">
        <v>0.8</v>
      </c>
      <c r="I242" t="s">
        <v>264</v>
      </c>
      <c r="J242" t="str">
        <f t="shared" si="3"/>
        <v>Concern content - FAMILY A</v>
      </c>
      <c r="K242"/>
      <c r="N242" t="str">
        <f>IFERROR(INDEX('Hoja 1 - Supabase Transcripts'!$A:$DN,MATCH(A242,'Hoja 1 - Supabase Transcripts'!$A:$A,0),MATCH("gap_segmentation_"&amp;E242,'Hoja 1 - Supabase Transcripts'!$2:$2,0)),"not found")</f>
        <v>not found</v>
      </c>
    </row>
    <row r="243" spans="1:14" ht="409.5" customHeight="1">
      <c r="A243" t="s">
        <v>191</v>
      </c>
      <c r="B243">
        <v>3</v>
      </c>
      <c r="C243" t="s">
        <v>1050</v>
      </c>
      <c r="D243" t="s">
        <v>1051</v>
      </c>
      <c r="E243" t="s">
        <v>256</v>
      </c>
      <c r="F243" t="s">
        <v>1052</v>
      </c>
      <c r="G243" t="s">
        <v>1053</v>
      </c>
      <c r="H243">
        <v>0.85</v>
      </c>
      <c r="I243" t="s">
        <v>264</v>
      </c>
      <c r="J243" t="str">
        <f t="shared" si="3"/>
        <v>Concern content - FAMILY A</v>
      </c>
      <c r="K243"/>
      <c r="N243" t="str">
        <f>IFERROR(INDEX('Hoja 1 - Supabase Transcripts'!$A:$DN,MATCH(A243,'Hoja 1 - Supabase Transcripts'!$A:$A,0),MATCH("gap_segmentation_"&amp;E243,'Hoja 1 - Supabase Transcripts'!$2:$2,0)),"not found")</f>
        <v>not found</v>
      </c>
    </row>
    <row r="244" spans="1:14" ht="409.5" customHeight="1">
      <c r="A244" t="s">
        <v>191</v>
      </c>
      <c r="B244">
        <v>3</v>
      </c>
      <c r="C244" t="s">
        <v>1050</v>
      </c>
      <c r="D244" t="s">
        <v>1054</v>
      </c>
      <c r="E244" s="19" t="s">
        <v>256</v>
      </c>
      <c r="F244" t="s">
        <v>1055</v>
      </c>
      <c r="G244" t="s">
        <v>1056</v>
      </c>
      <c r="H244">
        <v>0.9</v>
      </c>
      <c r="I244" t="s">
        <v>259</v>
      </c>
      <c r="J244" t="str">
        <f t="shared" si="3"/>
        <v>Rationalizing leadership absence</v>
      </c>
      <c r="K244" t="e">
        <f>_xlfn.XLOOKUP(J244,#REF!,#REF!,"0",0,1)</f>
        <v>#REF!</v>
      </c>
      <c r="N244" t="str">
        <f>IFERROR(INDEX('Hoja 1 - Supabase Transcripts'!$A:$DN,MATCH(A244,'Hoja 1 - Supabase Transcripts'!$A:$A,0),MATCH("gap_segmentation_"&amp;E244,'Hoja 1 - Supabase Transcripts'!$2:$2,0)),"not found")</f>
        <v>not found</v>
      </c>
    </row>
    <row r="245" spans="1:14" ht="409.5" customHeight="1">
      <c r="A245" t="s">
        <v>216</v>
      </c>
      <c r="B245">
        <v>4</v>
      </c>
      <c r="C245" t="s">
        <v>1057</v>
      </c>
      <c r="D245" t="s">
        <v>1058</v>
      </c>
      <c r="E245" t="s">
        <v>313</v>
      </c>
      <c r="F245" t="s">
        <v>1059</v>
      </c>
      <c r="G245" t="s">
        <v>1060</v>
      </c>
      <c r="H245">
        <v>0.88</v>
      </c>
      <c r="I245" t="s">
        <v>274</v>
      </c>
      <c r="J245" t="str">
        <f t="shared" si="3"/>
        <v>FAMILY_A_CONCERN_CONTENT</v>
      </c>
      <c r="K245"/>
      <c r="N245" t="str">
        <f>IFERROR(INDEX('Hoja 1 - Supabase Transcripts'!$A:$DN,MATCH(A245,'Hoja 1 - Supabase Transcripts'!$A:$A,0),MATCH("gap_segmentation_"&amp;E245,'Hoja 1 - Supabase Transcripts'!$2:$2,0)),"not found")</f>
        <v>not found</v>
      </c>
    </row>
    <row r="246" spans="1:14" ht="409.5" customHeight="1">
      <c r="A246" t="s">
        <v>216</v>
      </c>
      <c r="B246">
        <v>4</v>
      </c>
      <c r="C246" t="s">
        <v>1057</v>
      </c>
      <c r="D246" t="s">
        <v>1061</v>
      </c>
      <c r="E246" t="s">
        <v>313</v>
      </c>
      <c r="F246" t="s">
        <v>1062</v>
      </c>
      <c r="G246" t="s">
        <v>1063</v>
      </c>
      <c r="H246">
        <v>0.82</v>
      </c>
      <c r="I246" t="s">
        <v>281</v>
      </c>
      <c r="J246" t="str">
        <f t="shared" si="3"/>
        <v>Aspirational framing of unmet needs</v>
      </c>
      <c r="K246" t="e">
        <f>_xlfn.XLOOKUP(J246,#REF!,#REF!,"0",0,1)</f>
        <v>#REF!</v>
      </c>
      <c r="N246" t="str">
        <f>IFERROR(INDEX('Hoja 1 - Supabase Transcripts'!$A:$DN,MATCH(A246,'Hoja 1 - Supabase Transcripts'!$A:$A,0),MATCH("gap_segmentation_"&amp;E246,'Hoja 1 - Supabase Transcripts'!$2:$2,0)),"not found")</f>
        <v>not found</v>
      </c>
    </row>
    <row r="247" spans="1:14" ht="409.5" customHeight="1">
      <c r="A247" t="s">
        <v>216</v>
      </c>
      <c r="B247">
        <v>4</v>
      </c>
      <c r="C247" t="s">
        <v>1057</v>
      </c>
      <c r="D247" t="s">
        <v>1064</v>
      </c>
      <c r="E247" s="19" t="s">
        <v>256</v>
      </c>
      <c r="F247" t="s">
        <v>1065</v>
      </c>
      <c r="G247" t="s">
        <v>1066</v>
      </c>
      <c r="H247">
        <v>0.8</v>
      </c>
      <c r="I247" t="s">
        <v>259</v>
      </c>
      <c r="J247" t="str">
        <f t="shared" si="3"/>
        <v>Rationalizing leadership absence</v>
      </c>
      <c r="K247" t="e">
        <f>_xlfn.XLOOKUP(J247,#REF!,#REF!,"0",0,1)</f>
        <v>#REF!</v>
      </c>
      <c r="N247" t="str">
        <f>IFERROR(INDEX('Hoja 1 - Supabase Transcripts'!$A:$DN,MATCH(A247,'Hoja 1 - Supabase Transcripts'!$A:$A,0),MATCH("gap_segmentation_"&amp;E247,'Hoja 1 - Supabase Transcripts'!$2:$2,0)),"not found")</f>
        <v>not found</v>
      </c>
    </row>
    <row r="248" spans="1:14" ht="409.5" customHeight="1">
      <c r="A248" t="s">
        <v>216</v>
      </c>
      <c r="B248">
        <v>4</v>
      </c>
      <c r="C248" t="s">
        <v>1057</v>
      </c>
      <c r="D248" t="s">
        <v>1067</v>
      </c>
      <c r="E248" t="s">
        <v>261</v>
      </c>
      <c r="F248" t="s">
        <v>1068</v>
      </c>
      <c r="G248" t="s">
        <v>1069</v>
      </c>
      <c r="H248">
        <v>0.95</v>
      </c>
      <c r="I248" t="s">
        <v>293</v>
      </c>
      <c r="J248" t="str">
        <f t="shared" si="3"/>
        <v>Protective attribution shifting</v>
      </c>
      <c r="K248" t="e">
        <f>_xlfn.XLOOKUP(J248,#REF!,#REF!,"0",0,1)</f>
        <v>#REF!</v>
      </c>
      <c r="N248" t="str">
        <f>IFERROR(INDEX('Hoja 1 - Supabase Transcripts'!$A:$DN,MATCH(A248,'Hoja 1 - Supabase Transcripts'!$A:$A,0),MATCH("gap_segmentation_"&amp;E248,'Hoja 1 - Supabase Transcripts'!$2:$2,0)),"not found")</f>
        <v>not found</v>
      </c>
    </row>
    <row r="249" spans="1:14" ht="409.5" customHeight="1">
      <c r="A249" t="s">
        <v>216</v>
      </c>
      <c r="B249">
        <v>4</v>
      </c>
      <c r="C249" t="s">
        <v>1057</v>
      </c>
      <c r="D249" t="s">
        <v>1070</v>
      </c>
      <c r="E249" t="s">
        <v>261</v>
      </c>
      <c r="F249" t="s">
        <v>1071</v>
      </c>
      <c r="G249" t="s">
        <v>1072</v>
      </c>
      <c r="H249">
        <v>0.85</v>
      </c>
      <c r="I249" t="s">
        <v>264</v>
      </c>
      <c r="J249" t="str">
        <f t="shared" si="3"/>
        <v>Concern content - FAMILY A</v>
      </c>
      <c r="K249"/>
      <c r="N249" t="str">
        <f>IFERROR(INDEX('Hoja 1 - Supabase Transcripts'!$A:$DN,MATCH(A249,'Hoja 1 - Supabase Transcripts'!$A:$A,0),MATCH("gap_segmentation_"&amp;E249,'Hoja 1 - Supabase Transcripts'!$2:$2,0)),"not found")</f>
        <v>not found</v>
      </c>
    </row>
    <row r="250" spans="1:14" ht="409.5" customHeight="1">
      <c r="A250" t="s">
        <v>216</v>
      </c>
      <c r="B250">
        <v>4</v>
      </c>
      <c r="C250" t="s">
        <v>1057</v>
      </c>
      <c r="D250" t="s">
        <v>1073</v>
      </c>
      <c r="E250" t="s">
        <v>261</v>
      </c>
      <c r="F250" t="s">
        <v>1074</v>
      </c>
      <c r="G250" t="s">
        <v>1075</v>
      </c>
      <c r="H250">
        <v>0.9</v>
      </c>
      <c r="I250" t="s">
        <v>289</v>
      </c>
      <c r="J250" t="str">
        <f t="shared" si="3"/>
        <v>Normalization of extreme conditions</v>
      </c>
      <c r="K250" t="e">
        <f>_xlfn.XLOOKUP(J250,#REF!,#REF!,"0",0,1)</f>
        <v>#REF!</v>
      </c>
      <c r="N250" t="str">
        <f>IFERROR(INDEX('Hoja 1 - Supabase Transcripts'!$A:$DN,MATCH(A250,'Hoja 1 - Supabase Transcripts'!$A:$A,0),MATCH("gap_segmentation_"&amp;E250,'Hoja 1 - Supabase Transcripts'!$2:$2,0)),"not found")</f>
        <v>not found</v>
      </c>
    </row>
    <row r="251" spans="1:14" ht="409.5" customHeight="1">
      <c r="A251" t="s">
        <v>163</v>
      </c>
      <c r="B251">
        <v>1</v>
      </c>
      <c r="C251" t="s">
        <v>1076</v>
      </c>
      <c r="D251" t="s">
        <v>1077</v>
      </c>
      <c r="E251" t="s">
        <v>261</v>
      </c>
      <c r="F251" t="s">
        <v>1078</v>
      </c>
      <c r="G251" t="s">
        <v>1079</v>
      </c>
      <c r="H251">
        <v>0.85</v>
      </c>
      <c r="I251" t="s">
        <v>264</v>
      </c>
      <c r="J251" t="str">
        <f t="shared" si="3"/>
        <v>Concern content - FAMILY A</v>
      </c>
      <c r="K251"/>
      <c r="N251" t="str">
        <f>IFERROR(INDEX('Hoja 1 - Supabase Transcripts'!$A:$DN,MATCH(A251,'Hoja 1 - Supabase Transcripts'!$A:$A,0),MATCH("gap_segmentation_"&amp;E251,'Hoja 1 - Supabase Transcripts'!$2:$2,0)),"not found")</f>
        <v>not found</v>
      </c>
    </row>
    <row r="252" spans="1:14" ht="409.5" customHeight="1">
      <c r="A252" t="s">
        <v>163</v>
      </c>
      <c r="B252">
        <v>1</v>
      </c>
      <c r="C252" t="s">
        <v>1076</v>
      </c>
      <c r="D252" t="s">
        <v>1080</v>
      </c>
      <c r="E252" t="s">
        <v>261</v>
      </c>
      <c r="F252" t="s">
        <v>1081</v>
      </c>
      <c r="G252" t="s">
        <v>1082</v>
      </c>
      <c r="H252">
        <v>0.95</v>
      </c>
      <c r="I252" t="s">
        <v>293</v>
      </c>
      <c r="J252" t="str">
        <f t="shared" si="3"/>
        <v>Protective attribution shifting</v>
      </c>
      <c r="K252" t="e">
        <f>_xlfn.XLOOKUP(J252,#REF!,#REF!,"0",0,1)</f>
        <v>#REF!</v>
      </c>
      <c r="N252" t="str">
        <f>IFERROR(INDEX('Hoja 1 - Supabase Transcripts'!$A:$DN,MATCH(A252,'Hoja 1 - Supabase Transcripts'!$A:$A,0),MATCH("gap_segmentation_"&amp;E252,'Hoja 1 - Supabase Transcripts'!$2:$2,0)),"not found")</f>
        <v>not found</v>
      </c>
    </row>
    <row r="253" spans="1:14" ht="409.5" customHeight="1">
      <c r="A253" t="s">
        <v>163</v>
      </c>
      <c r="B253">
        <v>1</v>
      </c>
      <c r="C253" t="s">
        <v>1076</v>
      </c>
      <c r="D253" t="s">
        <v>1083</v>
      </c>
      <c r="E253" t="s">
        <v>261</v>
      </c>
      <c r="F253" t="s">
        <v>1084</v>
      </c>
      <c r="G253" t="s">
        <v>1085</v>
      </c>
      <c r="H253">
        <v>0.9</v>
      </c>
      <c r="I253" t="s">
        <v>264</v>
      </c>
      <c r="J253" t="str">
        <f t="shared" si="3"/>
        <v>Concern content - FAMILY A</v>
      </c>
      <c r="K253"/>
      <c r="N253" t="str">
        <f>IFERROR(INDEX('Hoja 1 - Supabase Transcripts'!$A:$DN,MATCH(A253,'Hoja 1 - Supabase Transcripts'!$A:$A,0),MATCH("gap_segmentation_"&amp;E253,'Hoja 1 - Supabase Transcripts'!$2:$2,0)),"not found")</f>
        <v>not found</v>
      </c>
    </row>
    <row r="254" spans="1:14" ht="409.5" customHeight="1">
      <c r="A254" t="s">
        <v>163</v>
      </c>
      <c r="B254">
        <v>1</v>
      </c>
      <c r="C254" t="s">
        <v>1076</v>
      </c>
      <c r="D254" t="s">
        <v>1086</v>
      </c>
      <c r="E254" t="s">
        <v>266</v>
      </c>
      <c r="F254" t="s">
        <v>1087</v>
      </c>
      <c r="G254" t="s">
        <v>1088</v>
      </c>
      <c r="H254">
        <v>0.8</v>
      </c>
      <c r="I254" t="s">
        <v>274</v>
      </c>
      <c r="J254" t="str">
        <f t="shared" si="3"/>
        <v>FAMILY_A_CONCERN_CONTENT</v>
      </c>
      <c r="K254"/>
      <c r="N254" t="str">
        <f>IFERROR(INDEX('Hoja 1 - Supabase Transcripts'!$A:$DN,MATCH(A254,'Hoja 1 - Supabase Transcripts'!$A:$A,0),MATCH("gap_segmentation_"&amp;E254,'Hoja 1 - Supabase Transcripts'!$2:$2,0)),"not found")</f>
        <v>not found</v>
      </c>
    </row>
    <row r="255" spans="1:14" ht="409.5" customHeight="1">
      <c r="A255" t="s">
        <v>213</v>
      </c>
      <c r="B255">
        <v>2</v>
      </c>
      <c r="C255" t="s">
        <v>1089</v>
      </c>
      <c r="D255" t="s">
        <v>443</v>
      </c>
      <c r="E255" t="s">
        <v>313</v>
      </c>
      <c r="F255" t="s">
        <v>1090</v>
      </c>
      <c r="G255" t="s">
        <v>1091</v>
      </c>
      <c r="H255">
        <v>0.7</v>
      </c>
      <c r="I255" t="s">
        <v>435</v>
      </c>
      <c r="J255" t="str">
        <f t="shared" si="3"/>
        <v>Disclaiming assessment capacity</v>
      </c>
      <c r="K255" t="e">
        <f>_xlfn.XLOOKUP(J255,#REF!,#REF!,"0",0,1)</f>
        <v>#REF!</v>
      </c>
      <c r="N255" t="str">
        <f>IFERROR(INDEX('Hoja 1 - Supabase Transcripts'!$A:$DN,MATCH(A255,'Hoja 1 - Supabase Transcripts'!$A:$A,0),MATCH("gap_segmentation_"&amp;E255,'Hoja 1 - Supabase Transcripts'!$2:$2,0)),"not found")</f>
        <v>not found</v>
      </c>
    </row>
    <row r="256" spans="1:14" ht="409.5" customHeight="1">
      <c r="A256" t="s">
        <v>213</v>
      </c>
      <c r="B256">
        <v>2</v>
      </c>
      <c r="C256" t="s">
        <v>1089</v>
      </c>
      <c r="D256" t="s">
        <v>1092</v>
      </c>
      <c r="E256" t="s">
        <v>313</v>
      </c>
      <c r="F256" t="s">
        <v>1093</v>
      </c>
      <c r="G256" t="s">
        <v>1094</v>
      </c>
      <c r="H256">
        <v>0.9</v>
      </c>
      <c r="I256" t="s">
        <v>264</v>
      </c>
      <c r="J256" t="str">
        <f t="shared" si="3"/>
        <v>Concern content - FAMILY A</v>
      </c>
      <c r="K256"/>
      <c r="N256" t="str">
        <f>IFERROR(INDEX('Hoja 1 - Supabase Transcripts'!$A:$DN,MATCH(A256,'Hoja 1 - Supabase Transcripts'!$A:$A,0),MATCH("gap_segmentation_"&amp;E256,'Hoja 1 - Supabase Transcripts'!$2:$2,0)),"not found")</f>
        <v>not found</v>
      </c>
    </row>
    <row r="257" spans="1:14" ht="409.5" customHeight="1">
      <c r="A257" t="s">
        <v>213</v>
      </c>
      <c r="B257">
        <v>2</v>
      </c>
      <c r="C257" t="s">
        <v>1089</v>
      </c>
      <c r="D257" t="s">
        <v>1095</v>
      </c>
      <c r="E257" t="s">
        <v>429</v>
      </c>
      <c r="F257" t="s">
        <v>1096</v>
      </c>
      <c r="G257" t="s">
        <v>1097</v>
      </c>
      <c r="H257">
        <v>1</v>
      </c>
      <c r="I257" t="s">
        <v>264</v>
      </c>
      <c r="J257" t="str">
        <f t="shared" si="3"/>
        <v>Concern content - FAMILY A</v>
      </c>
      <c r="K257"/>
      <c r="N257" t="str">
        <f>IFERROR(INDEX('Hoja 1 - Supabase Transcripts'!$A:$DN,MATCH(A257,'Hoja 1 - Supabase Transcripts'!$A:$A,0),MATCH("gap_segmentation_"&amp;E257,'Hoja 1 - Supabase Transcripts'!$2:$2,0)),"not found")</f>
        <v>not found</v>
      </c>
    </row>
    <row r="258" spans="1:14" ht="409.5" customHeight="1">
      <c r="A258" t="s">
        <v>213</v>
      </c>
      <c r="B258">
        <v>2</v>
      </c>
      <c r="C258" t="s">
        <v>1089</v>
      </c>
      <c r="D258" t="s">
        <v>1098</v>
      </c>
      <c r="E258" t="s">
        <v>429</v>
      </c>
      <c r="F258" t="s">
        <v>1099</v>
      </c>
      <c r="G258" t="s">
        <v>1100</v>
      </c>
      <c r="H258">
        <v>1</v>
      </c>
      <c r="I258" t="s">
        <v>597</v>
      </c>
      <c r="J258" t="str">
        <f t="shared" ref="J258:J321" si="4">IF(OR(I258="Epistemic hedging",I258="Qualifying severity while disclosing",I258="Downgrading emotional intensity"),"Hedged, qualified disclosure",IF(OR(I258="Externalizing accountability",I258="Self-attributing structural problems"),"Protective attribution shifting",IF(OR(I258="Refusal to elaborate under probing",I258="Retracting or qualifying disclosure"),"Withholding under probing",IF(OR(I258="Managing traceability and exposure",I258="Compartmentalizing the AI channel"),"Channel exposure management",IF(OR(I258="Skepticism toward remedy",I258="Anticipating dismissal or misrecognition"),"Anticipated futility of voice",IF(OR(I258="Calling out known but unaddressed issues",I258="Silence within expression"),"Recognized but unescalated concerns",I258))))))</f>
        <v>Recognized but unescalated concerns</v>
      </c>
      <c r="K258" t="e">
        <f>_xlfn.XLOOKUP(J258,#REF!,#REF!,"0",0,1)</f>
        <v>#REF!</v>
      </c>
      <c r="N258" t="str">
        <f>IFERROR(INDEX('Hoja 1 - Supabase Transcripts'!$A:$DN,MATCH(A258,'Hoja 1 - Supabase Transcripts'!$A:$A,0),MATCH("gap_segmentation_"&amp;E258,'Hoja 1 - Supabase Transcripts'!$2:$2,0)),"not found")</f>
        <v>not found</v>
      </c>
    </row>
    <row r="259" spans="1:14" ht="409.5" customHeight="1">
      <c r="A259" t="s">
        <v>213</v>
      </c>
      <c r="B259">
        <v>2</v>
      </c>
      <c r="C259" t="s">
        <v>1089</v>
      </c>
      <c r="D259" t="s">
        <v>1101</v>
      </c>
      <c r="E259" t="s">
        <v>429</v>
      </c>
      <c r="F259" t="s">
        <v>1102</v>
      </c>
      <c r="G259" t="s">
        <v>1103</v>
      </c>
      <c r="H259">
        <v>0.95</v>
      </c>
      <c r="I259" t="s">
        <v>289</v>
      </c>
      <c r="J259" t="str">
        <f t="shared" si="4"/>
        <v>Normalization of extreme conditions</v>
      </c>
      <c r="K259" t="e">
        <f>_xlfn.XLOOKUP(J259,#REF!,#REF!,"0",0,1)</f>
        <v>#REF!</v>
      </c>
      <c r="N259" t="str">
        <f>IFERROR(INDEX('Hoja 1 - Supabase Transcripts'!$A:$DN,MATCH(A259,'Hoja 1 - Supabase Transcripts'!$A:$A,0),MATCH("gap_segmentation_"&amp;E259,'Hoja 1 - Supabase Transcripts'!$2:$2,0)),"not found")</f>
        <v>not found</v>
      </c>
    </row>
    <row r="260" spans="1:14" ht="409.5" customHeight="1">
      <c r="A260" t="s">
        <v>213</v>
      </c>
      <c r="B260">
        <v>2</v>
      </c>
      <c r="C260" t="s">
        <v>1089</v>
      </c>
      <c r="D260" t="s">
        <v>1104</v>
      </c>
      <c r="E260" s="19" t="s">
        <v>256</v>
      </c>
      <c r="F260" t="s">
        <v>1105</v>
      </c>
      <c r="G260" t="s">
        <v>1106</v>
      </c>
      <c r="H260">
        <v>0.95</v>
      </c>
      <c r="I260" t="s">
        <v>281</v>
      </c>
      <c r="J260" t="str">
        <f t="shared" si="4"/>
        <v>Aspirational framing of unmet needs</v>
      </c>
      <c r="K260" t="e">
        <f>_xlfn.XLOOKUP(J260,#REF!,#REF!,"0",0,1)</f>
        <v>#REF!</v>
      </c>
      <c r="N260" t="str">
        <f>IFERROR(INDEX('Hoja 1 - Supabase Transcripts'!$A:$DN,MATCH(A260,'Hoja 1 - Supabase Transcripts'!$A:$A,0),MATCH("gap_segmentation_"&amp;E260,'Hoja 1 - Supabase Transcripts'!$2:$2,0)),"not found")</f>
        <v>not found</v>
      </c>
    </row>
    <row r="261" spans="1:14" ht="409.5" customHeight="1">
      <c r="A261" t="s">
        <v>213</v>
      </c>
      <c r="B261">
        <v>2</v>
      </c>
      <c r="C261" t="s">
        <v>1089</v>
      </c>
      <c r="D261" t="s">
        <v>1107</v>
      </c>
      <c r="E261" t="s">
        <v>256</v>
      </c>
      <c r="F261" t="s">
        <v>1108</v>
      </c>
      <c r="G261" t="s">
        <v>1109</v>
      </c>
      <c r="H261">
        <v>0.95</v>
      </c>
      <c r="I261" t="s">
        <v>264</v>
      </c>
      <c r="J261" t="str">
        <f t="shared" si="4"/>
        <v>Concern content - FAMILY A</v>
      </c>
      <c r="K261"/>
      <c r="N261" t="str">
        <f>IFERROR(INDEX('Hoja 1 - Supabase Transcripts'!$A:$DN,MATCH(A261,'Hoja 1 - Supabase Transcripts'!$A:$A,0),MATCH("gap_segmentation_"&amp;E261,'Hoja 1 - Supabase Transcripts'!$2:$2,0)),"not found")</f>
        <v>not found</v>
      </c>
    </row>
    <row r="262" spans="1:14" ht="409.5" customHeight="1">
      <c r="A262" t="s">
        <v>213</v>
      </c>
      <c r="B262">
        <v>2</v>
      </c>
      <c r="C262" t="s">
        <v>1089</v>
      </c>
      <c r="D262" t="s">
        <v>1110</v>
      </c>
      <c r="E262" t="s">
        <v>261</v>
      </c>
      <c r="F262" t="s">
        <v>1111</v>
      </c>
      <c r="G262" t="s">
        <v>1112</v>
      </c>
      <c r="H262">
        <v>0.85</v>
      </c>
      <c r="I262" t="s">
        <v>354</v>
      </c>
      <c r="J262" t="str">
        <f t="shared" si="4"/>
        <v>Compensatory reframing</v>
      </c>
      <c r="K262" t="e">
        <f>_xlfn.XLOOKUP(J262,#REF!,#REF!,"0",0,1)</f>
        <v>#REF!</v>
      </c>
      <c r="N262" t="str">
        <f>IFERROR(INDEX('Hoja 1 - Supabase Transcripts'!$A:$DN,MATCH(A262,'Hoja 1 - Supabase Transcripts'!$A:$A,0),MATCH("gap_segmentation_"&amp;E262,'Hoja 1 - Supabase Transcripts'!$2:$2,0)),"not found")</f>
        <v>not found</v>
      </c>
    </row>
    <row r="263" spans="1:14" ht="409.5" customHeight="1">
      <c r="A263" t="s">
        <v>213</v>
      </c>
      <c r="B263">
        <v>2</v>
      </c>
      <c r="C263" t="s">
        <v>1089</v>
      </c>
      <c r="D263" t="s">
        <v>1113</v>
      </c>
      <c r="E263" t="s">
        <v>261</v>
      </c>
      <c r="F263" t="s">
        <v>1114</v>
      </c>
      <c r="G263" t="s">
        <v>1115</v>
      </c>
      <c r="H263">
        <v>0.95</v>
      </c>
      <c r="I263" t="s">
        <v>264</v>
      </c>
      <c r="J263" t="str">
        <f t="shared" si="4"/>
        <v>Concern content - FAMILY A</v>
      </c>
      <c r="K263"/>
      <c r="N263" t="str">
        <f>IFERROR(INDEX('Hoja 1 - Supabase Transcripts'!$A:$DN,MATCH(A263,'Hoja 1 - Supabase Transcripts'!$A:$A,0),MATCH("gap_segmentation_"&amp;E263,'Hoja 1 - Supabase Transcripts'!$2:$2,0)),"not found")</f>
        <v>not found</v>
      </c>
    </row>
    <row r="264" spans="1:14" ht="409.5" customHeight="1">
      <c r="A264" t="s">
        <v>213</v>
      </c>
      <c r="B264">
        <v>2</v>
      </c>
      <c r="C264" t="s">
        <v>1089</v>
      </c>
      <c r="D264" t="s">
        <v>1116</v>
      </c>
      <c r="E264" t="s">
        <v>266</v>
      </c>
      <c r="F264" t="s">
        <v>1117</v>
      </c>
      <c r="G264" t="s">
        <v>1118</v>
      </c>
      <c r="H264">
        <v>1</v>
      </c>
      <c r="I264" t="s">
        <v>264</v>
      </c>
      <c r="J264" t="str">
        <f t="shared" si="4"/>
        <v>Concern content - FAMILY A</v>
      </c>
      <c r="K264"/>
      <c r="N264" t="str">
        <f>IFERROR(INDEX('Hoja 1 - Supabase Transcripts'!$A:$DN,MATCH(A264,'Hoja 1 - Supabase Transcripts'!$A:$A,0),MATCH("gap_segmentation_"&amp;E264,'Hoja 1 - Supabase Transcripts'!$2:$2,0)),"not found")</f>
        <v>not found</v>
      </c>
    </row>
    <row r="265" spans="1:14" ht="409.5" customHeight="1">
      <c r="A265" t="s">
        <v>213</v>
      </c>
      <c r="B265">
        <v>2</v>
      </c>
      <c r="C265" t="s">
        <v>1089</v>
      </c>
      <c r="D265" t="s">
        <v>1119</v>
      </c>
      <c r="E265" t="s">
        <v>266</v>
      </c>
      <c r="F265" t="s">
        <v>1120</v>
      </c>
      <c r="G265" t="s">
        <v>1121</v>
      </c>
      <c r="H265">
        <v>0.95</v>
      </c>
      <c r="I265" t="s">
        <v>264</v>
      </c>
      <c r="J265" t="str">
        <f t="shared" si="4"/>
        <v>Concern content - FAMILY A</v>
      </c>
      <c r="K265"/>
      <c r="N265" t="str">
        <f>IFERROR(INDEX('Hoja 1 - Supabase Transcripts'!$A:$DN,MATCH(A265,'Hoja 1 - Supabase Transcripts'!$A:$A,0),MATCH("gap_segmentation_"&amp;E265,'Hoja 1 - Supabase Transcripts'!$2:$2,0)),"not found")</f>
        <v>not found</v>
      </c>
    </row>
    <row r="266" spans="1:14" ht="409.5" customHeight="1">
      <c r="A266" t="s">
        <v>213</v>
      </c>
      <c r="B266">
        <v>2</v>
      </c>
      <c r="C266" t="s">
        <v>1089</v>
      </c>
      <c r="D266" t="s">
        <v>1122</v>
      </c>
      <c r="E266" t="s">
        <v>266</v>
      </c>
      <c r="F266" t="s">
        <v>1123</v>
      </c>
      <c r="G266" t="s">
        <v>1124</v>
      </c>
      <c r="H266">
        <v>1</v>
      </c>
      <c r="I266" t="s">
        <v>274</v>
      </c>
      <c r="J266" t="str">
        <f t="shared" si="4"/>
        <v>FAMILY_A_CONCERN_CONTENT</v>
      </c>
      <c r="K266"/>
      <c r="N266" t="str">
        <f>IFERROR(INDEX('Hoja 1 - Supabase Transcripts'!$A:$DN,MATCH(A266,'Hoja 1 - Supabase Transcripts'!$A:$A,0),MATCH("gap_segmentation_"&amp;E266,'Hoja 1 - Supabase Transcripts'!$2:$2,0)),"not found")</f>
        <v>not found</v>
      </c>
    </row>
    <row r="267" spans="1:14" ht="409.5" customHeight="1">
      <c r="A267" t="s">
        <v>213</v>
      </c>
      <c r="B267">
        <v>2</v>
      </c>
      <c r="C267" t="s">
        <v>1089</v>
      </c>
      <c r="D267" t="s">
        <v>1125</v>
      </c>
      <c r="E267" t="s">
        <v>266</v>
      </c>
      <c r="F267" t="s">
        <v>1126</v>
      </c>
      <c r="G267" t="s">
        <v>1127</v>
      </c>
      <c r="H267">
        <v>0.95</v>
      </c>
      <c r="I267" t="s">
        <v>264</v>
      </c>
      <c r="J267" t="str">
        <f t="shared" si="4"/>
        <v>Concern content - FAMILY A</v>
      </c>
      <c r="K267"/>
      <c r="N267" t="str">
        <f>IFERROR(INDEX('Hoja 1 - Supabase Transcripts'!$A:$DN,MATCH(A267,'Hoja 1 - Supabase Transcripts'!$A:$A,0),MATCH("gap_segmentation_"&amp;E267,'Hoja 1 - Supabase Transcripts'!$2:$2,0)),"not found")</f>
        <v>not found</v>
      </c>
    </row>
    <row r="268" spans="1:14" ht="409.5" customHeight="1">
      <c r="A268" t="s">
        <v>213</v>
      </c>
      <c r="B268">
        <v>2</v>
      </c>
      <c r="C268" t="s">
        <v>1089</v>
      </c>
      <c r="D268" t="s">
        <v>1128</v>
      </c>
      <c r="E268" t="s">
        <v>266</v>
      </c>
      <c r="F268" t="s">
        <v>1129</v>
      </c>
      <c r="G268" t="s">
        <v>1130</v>
      </c>
      <c r="H268">
        <v>0.9</v>
      </c>
      <c r="I268" t="s">
        <v>264</v>
      </c>
      <c r="J268" t="str">
        <f t="shared" si="4"/>
        <v>Concern content - FAMILY A</v>
      </c>
      <c r="K268"/>
      <c r="N268" t="str">
        <f>IFERROR(INDEX('Hoja 1 - Supabase Transcripts'!$A:$DN,MATCH(A268,'Hoja 1 - Supabase Transcripts'!$A:$A,0),MATCH("gap_segmentation_"&amp;E268,'Hoja 1 - Supabase Transcripts'!$2:$2,0)),"not found")</f>
        <v>not found</v>
      </c>
    </row>
    <row r="269" spans="1:14" ht="409.5" customHeight="1">
      <c r="A269" t="s">
        <v>213</v>
      </c>
      <c r="B269">
        <v>2</v>
      </c>
      <c r="C269" t="s">
        <v>1089</v>
      </c>
      <c r="D269" t="s">
        <v>1131</v>
      </c>
      <c r="E269" t="s">
        <v>266</v>
      </c>
      <c r="F269" t="s">
        <v>1132</v>
      </c>
      <c r="G269" t="s">
        <v>1133</v>
      </c>
      <c r="H269">
        <v>0.85</v>
      </c>
      <c r="I269" t="s">
        <v>264</v>
      </c>
      <c r="J269" t="str">
        <f t="shared" si="4"/>
        <v>Concern content - FAMILY A</v>
      </c>
      <c r="K269"/>
      <c r="N269" t="str">
        <f>IFERROR(INDEX('Hoja 1 - Supabase Transcripts'!$A:$DN,MATCH(A269,'Hoja 1 - Supabase Transcripts'!$A:$A,0),MATCH("gap_segmentation_"&amp;E269,'Hoja 1 - Supabase Transcripts'!$2:$2,0)),"not found")</f>
        <v>not found</v>
      </c>
    </row>
    <row r="270" spans="1:14" ht="409.5" customHeight="1">
      <c r="A270" t="s">
        <v>213</v>
      </c>
      <c r="B270">
        <v>2</v>
      </c>
      <c r="C270" t="s">
        <v>1089</v>
      </c>
      <c r="D270" t="s">
        <v>1134</v>
      </c>
      <c r="E270" t="s">
        <v>266</v>
      </c>
      <c r="F270" t="s">
        <v>1135</v>
      </c>
      <c r="G270" t="s">
        <v>1136</v>
      </c>
      <c r="H270">
        <v>0.9</v>
      </c>
      <c r="I270" t="s">
        <v>264</v>
      </c>
      <c r="J270" t="str">
        <f t="shared" si="4"/>
        <v>Concern content - FAMILY A</v>
      </c>
      <c r="K270"/>
      <c r="N270" t="str">
        <f>IFERROR(INDEX('Hoja 1 - Supabase Transcripts'!$A:$DN,MATCH(A270,'Hoja 1 - Supabase Transcripts'!$A:$A,0),MATCH("gap_segmentation_"&amp;E270,'Hoja 1 - Supabase Transcripts'!$2:$2,0)),"not found")</f>
        <v>not found</v>
      </c>
    </row>
    <row r="271" spans="1:14" ht="409.5" customHeight="1">
      <c r="A271" t="s">
        <v>213</v>
      </c>
      <c r="B271">
        <v>2</v>
      </c>
      <c r="C271" t="s">
        <v>1089</v>
      </c>
      <c r="D271" t="s">
        <v>1137</v>
      </c>
      <c r="E271" t="s">
        <v>266</v>
      </c>
      <c r="F271" t="s">
        <v>1138</v>
      </c>
      <c r="G271" t="s">
        <v>1139</v>
      </c>
      <c r="H271">
        <v>0.95</v>
      </c>
      <c r="I271" t="s">
        <v>264</v>
      </c>
      <c r="J271" t="str">
        <f t="shared" si="4"/>
        <v>Concern content - FAMILY A</v>
      </c>
      <c r="K271"/>
      <c r="N271" t="str">
        <f>IFERROR(INDEX('Hoja 1 - Supabase Transcripts'!$A:$DN,MATCH(A271,'Hoja 1 - Supabase Transcripts'!$A:$A,0),MATCH("gap_segmentation_"&amp;E271,'Hoja 1 - Supabase Transcripts'!$2:$2,0)),"not found")</f>
        <v>not found</v>
      </c>
    </row>
    <row r="272" spans="1:14" ht="409.5" customHeight="1">
      <c r="A272" t="s">
        <v>196</v>
      </c>
      <c r="B272">
        <v>2</v>
      </c>
      <c r="C272" t="s">
        <v>1140</v>
      </c>
      <c r="D272" t="s">
        <v>1141</v>
      </c>
      <c r="E272" t="s">
        <v>313</v>
      </c>
      <c r="F272" t="s">
        <v>1142</v>
      </c>
      <c r="G272" t="s">
        <v>1143</v>
      </c>
      <c r="H272">
        <v>0.9</v>
      </c>
      <c r="I272" t="s">
        <v>264</v>
      </c>
      <c r="J272" t="str">
        <f t="shared" si="4"/>
        <v>Concern content - FAMILY A</v>
      </c>
      <c r="K272"/>
      <c r="N272" t="str">
        <f>IFERROR(INDEX('Hoja 1 - Supabase Transcripts'!$A:$DN,MATCH(A272,'Hoja 1 - Supabase Transcripts'!$A:$A,0),MATCH("gap_segmentation_"&amp;E272,'Hoja 1 - Supabase Transcripts'!$2:$2,0)),"not found")</f>
        <v>not found</v>
      </c>
    </row>
    <row r="273" spans="1:14" ht="409.5" customHeight="1">
      <c r="A273" t="s">
        <v>196</v>
      </c>
      <c r="B273">
        <v>2</v>
      </c>
      <c r="C273" t="s">
        <v>1140</v>
      </c>
      <c r="D273" t="s">
        <v>1144</v>
      </c>
      <c r="E273" s="19" t="s">
        <v>256</v>
      </c>
      <c r="F273" t="s">
        <v>1145</v>
      </c>
      <c r="G273" t="s">
        <v>1146</v>
      </c>
      <c r="H273">
        <v>0.9</v>
      </c>
      <c r="I273" t="s">
        <v>259</v>
      </c>
      <c r="J273" t="str">
        <f t="shared" si="4"/>
        <v>Rationalizing leadership absence</v>
      </c>
      <c r="K273" t="e">
        <f>_xlfn.XLOOKUP(J273,#REF!,#REF!,"0",0,1)</f>
        <v>#REF!</v>
      </c>
      <c r="N273" t="str">
        <f>IFERROR(INDEX('Hoja 1 - Supabase Transcripts'!$A:$DN,MATCH(A273,'Hoja 1 - Supabase Transcripts'!$A:$A,0),MATCH("gap_segmentation_"&amp;E273,'Hoja 1 - Supabase Transcripts'!$2:$2,0)),"not found")</f>
        <v>not found</v>
      </c>
    </row>
    <row r="274" spans="1:14" ht="409.5" customHeight="1">
      <c r="A274" t="s">
        <v>196</v>
      </c>
      <c r="B274">
        <v>2</v>
      </c>
      <c r="C274" t="s">
        <v>1140</v>
      </c>
      <c r="D274" t="s">
        <v>1147</v>
      </c>
      <c r="E274" t="s">
        <v>256</v>
      </c>
      <c r="F274" t="s">
        <v>1148</v>
      </c>
      <c r="G274" t="s">
        <v>1149</v>
      </c>
      <c r="H274">
        <v>0.75</v>
      </c>
      <c r="I274" t="s">
        <v>264</v>
      </c>
      <c r="J274" t="str">
        <f t="shared" si="4"/>
        <v>Concern content - FAMILY A</v>
      </c>
      <c r="K274"/>
      <c r="N274" t="str">
        <f>IFERROR(INDEX('Hoja 1 - Supabase Transcripts'!$A:$DN,MATCH(A274,'Hoja 1 - Supabase Transcripts'!$A:$A,0),MATCH("gap_segmentation_"&amp;E274,'Hoja 1 - Supabase Transcripts'!$2:$2,0)),"not found")</f>
        <v>not found</v>
      </c>
    </row>
    <row r="275" spans="1:14" ht="409.5" customHeight="1">
      <c r="A275" t="s">
        <v>196</v>
      </c>
      <c r="B275">
        <v>2</v>
      </c>
      <c r="C275" t="s">
        <v>1140</v>
      </c>
      <c r="D275" t="s">
        <v>1150</v>
      </c>
      <c r="E275" t="s">
        <v>266</v>
      </c>
      <c r="F275" t="s">
        <v>1151</v>
      </c>
      <c r="G275" t="s">
        <v>1152</v>
      </c>
      <c r="H275">
        <v>0.85</v>
      </c>
      <c r="I275" t="s">
        <v>264</v>
      </c>
      <c r="J275" t="str">
        <f t="shared" si="4"/>
        <v>Concern content - FAMILY A</v>
      </c>
      <c r="K275"/>
      <c r="N275" t="str">
        <f>IFERROR(INDEX('Hoja 1 - Supabase Transcripts'!$A:$DN,MATCH(A275,'Hoja 1 - Supabase Transcripts'!$A:$A,0),MATCH("gap_segmentation_"&amp;E275,'Hoja 1 - Supabase Transcripts'!$2:$2,0)),"not found")</f>
        <v>not found</v>
      </c>
    </row>
    <row r="276" spans="1:14" ht="409.5" customHeight="1">
      <c r="A276" t="s">
        <v>168</v>
      </c>
      <c r="B276">
        <v>1</v>
      </c>
      <c r="C276" t="s">
        <v>1153</v>
      </c>
      <c r="D276" t="s">
        <v>1154</v>
      </c>
      <c r="E276" s="19" t="s">
        <v>256</v>
      </c>
      <c r="F276" t="s">
        <v>1155</v>
      </c>
      <c r="G276" t="s">
        <v>1156</v>
      </c>
      <c r="H276">
        <v>0.8</v>
      </c>
      <c r="I276" t="s">
        <v>259</v>
      </c>
      <c r="J276" t="str">
        <f t="shared" si="4"/>
        <v>Rationalizing leadership absence</v>
      </c>
      <c r="K276" t="e">
        <f>_xlfn.XLOOKUP(J276,#REF!,#REF!,"0",0,1)</f>
        <v>#REF!</v>
      </c>
      <c r="N276" t="str">
        <f>IFERROR(INDEX('Hoja 1 - Supabase Transcripts'!$A:$DN,MATCH(A276,'Hoja 1 - Supabase Transcripts'!$A:$A,0),MATCH("gap_segmentation_"&amp;E276,'Hoja 1 - Supabase Transcripts'!$2:$2,0)),"not found")</f>
        <v>not found</v>
      </c>
    </row>
    <row r="277" spans="1:14" ht="409.5" customHeight="1">
      <c r="A277" t="s">
        <v>168</v>
      </c>
      <c r="B277">
        <v>1</v>
      </c>
      <c r="C277" t="s">
        <v>1153</v>
      </c>
      <c r="D277" t="s">
        <v>1157</v>
      </c>
      <c r="E277" t="s">
        <v>261</v>
      </c>
      <c r="F277" t="s">
        <v>1158</v>
      </c>
      <c r="G277" t="s">
        <v>1159</v>
      </c>
      <c r="H277">
        <v>0.85</v>
      </c>
      <c r="I277" t="s">
        <v>269</v>
      </c>
      <c r="J277" t="str">
        <f t="shared" si="4"/>
        <v>Hedged, qualified disclosure</v>
      </c>
      <c r="K277" t="e">
        <f>_xlfn.XLOOKUP(J277,#REF!,#REF!,"0",0,1)</f>
        <v>#REF!</v>
      </c>
      <c r="N277" t="str">
        <f>IFERROR(INDEX('Hoja 1 - Supabase Transcripts'!$A:$DN,MATCH(A277,'Hoja 1 - Supabase Transcripts'!$A:$A,0),MATCH("gap_segmentation_"&amp;E277,'Hoja 1 - Supabase Transcripts'!$2:$2,0)),"not found")</f>
        <v>not found</v>
      </c>
    </row>
    <row r="278" spans="1:14" ht="409.5" customHeight="1">
      <c r="A278" t="s">
        <v>168</v>
      </c>
      <c r="B278">
        <v>1</v>
      </c>
      <c r="C278" t="s">
        <v>1153</v>
      </c>
      <c r="D278" t="s">
        <v>1160</v>
      </c>
      <c r="E278" t="s">
        <v>261</v>
      </c>
      <c r="F278" t="s">
        <v>1161</v>
      </c>
      <c r="G278" t="s">
        <v>1162</v>
      </c>
      <c r="H278">
        <v>0.95</v>
      </c>
      <c r="I278" t="s">
        <v>264</v>
      </c>
      <c r="J278" t="str">
        <f t="shared" si="4"/>
        <v>Concern content - FAMILY A</v>
      </c>
      <c r="K278"/>
      <c r="N278" t="str">
        <f>IFERROR(INDEX('Hoja 1 - Supabase Transcripts'!$A:$DN,MATCH(A278,'Hoja 1 - Supabase Transcripts'!$A:$A,0),MATCH("gap_segmentation_"&amp;E278,'Hoja 1 - Supabase Transcripts'!$2:$2,0)),"not found")</f>
        <v>not found</v>
      </c>
    </row>
    <row r="279" spans="1:14" ht="409.5" customHeight="1">
      <c r="A279" t="s">
        <v>168</v>
      </c>
      <c r="B279">
        <v>1</v>
      </c>
      <c r="C279" t="s">
        <v>1153</v>
      </c>
      <c r="D279" t="s">
        <v>1163</v>
      </c>
      <c r="E279" t="s">
        <v>261</v>
      </c>
      <c r="F279" t="s">
        <v>1164</v>
      </c>
      <c r="G279" t="s">
        <v>1165</v>
      </c>
      <c r="H279">
        <v>0.9</v>
      </c>
      <c r="I279" t="s">
        <v>264</v>
      </c>
      <c r="J279" t="str">
        <f t="shared" si="4"/>
        <v>Concern content - FAMILY A</v>
      </c>
      <c r="K279"/>
      <c r="N279" t="str">
        <f>IFERROR(INDEX('Hoja 1 - Supabase Transcripts'!$A:$DN,MATCH(A279,'Hoja 1 - Supabase Transcripts'!$A:$A,0),MATCH("gap_segmentation_"&amp;E279,'Hoja 1 - Supabase Transcripts'!$2:$2,0)),"not found")</f>
        <v>not found</v>
      </c>
    </row>
    <row r="280" spans="1:14" ht="409.5" customHeight="1">
      <c r="A280" t="s">
        <v>175</v>
      </c>
      <c r="B280">
        <v>1</v>
      </c>
      <c r="C280" t="s">
        <v>1166</v>
      </c>
      <c r="D280" t="s">
        <v>1167</v>
      </c>
      <c r="E280" t="s">
        <v>261</v>
      </c>
      <c r="F280" t="s">
        <v>1168</v>
      </c>
      <c r="G280" t="s">
        <v>1169</v>
      </c>
      <c r="H280">
        <v>0.98</v>
      </c>
      <c r="I280" t="s">
        <v>624</v>
      </c>
      <c r="J280" t="str">
        <f t="shared" si="4"/>
        <v>Anticipated futility of voice</v>
      </c>
      <c r="K280" t="e">
        <f>_xlfn.XLOOKUP(J280,#REF!,#REF!,"0",0,1)</f>
        <v>#REF!</v>
      </c>
      <c r="N280" t="str">
        <f>IFERROR(INDEX('Hoja 1 - Supabase Transcripts'!$A:$DN,MATCH(A280,'Hoja 1 - Supabase Transcripts'!$A:$A,0),MATCH("gap_segmentation_"&amp;E280,'Hoja 1 - Supabase Transcripts'!$2:$2,0)),"not found")</f>
        <v>not found</v>
      </c>
    </row>
    <row r="281" spans="1:14" ht="409.5" customHeight="1">
      <c r="A281" t="s">
        <v>175</v>
      </c>
      <c r="B281">
        <v>1</v>
      </c>
      <c r="C281" t="s">
        <v>1166</v>
      </c>
      <c r="D281" t="s">
        <v>1170</v>
      </c>
      <c r="E281" t="s">
        <v>261</v>
      </c>
      <c r="F281" t="s">
        <v>1171</v>
      </c>
      <c r="G281" t="s">
        <v>1172</v>
      </c>
      <c r="H281">
        <v>0.95</v>
      </c>
      <c r="I281" t="s">
        <v>415</v>
      </c>
      <c r="J281" t="str">
        <f t="shared" si="4"/>
        <v>Withholding under probing</v>
      </c>
      <c r="K281" t="e">
        <f>_xlfn.XLOOKUP(J281,#REF!,#REF!,"0",0,1)</f>
        <v>#REF!</v>
      </c>
      <c r="N281" t="str">
        <f>IFERROR(INDEX('Hoja 1 - Supabase Transcripts'!$A:$DN,MATCH(A281,'Hoja 1 - Supabase Transcripts'!$A:$A,0),MATCH("gap_segmentation_"&amp;E281,'Hoja 1 - Supabase Transcripts'!$2:$2,0)),"not found")</f>
        <v>not found</v>
      </c>
    </row>
    <row r="282" spans="1:14" ht="409.5" customHeight="1">
      <c r="A282" t="s">
        <v>175</v>
      </c>
      <c r="B282">
        <v>1</v>
      </c>
      <c r="C282" t="s">
        <v>1166</v>
      </c>
      <c r="D282" t="s">
        <v>1173</v>
      </c>
      <c r="E282" s="16" t="s">
        <v>266</v>
      </c>
      <c r="F282" t="s">
        <v>1174</v>
      </c>
      <c r="G282" t="s">
        <v>1175</v>
      </c>
      <c r="H282">
        <v>0.85</v>
      </c>
      <c r="I282" t="s">
        <v>310</v>
      </c>
      <c r="J282" t="str">
        <f t="shared" si="4"/>
        <v>Hedged, qualified disclosure</v>
      </c>
      <c r="K282" t="e">
        <f>_xlfn.XLOOKUP(J282,#REF!,#REF!,"0",0,1)</f>
        <v>#REF!</v>
      </c>
      <c r="N282" t="str">
        <f>IFERROR(INDEX('Hoja 1 - Supabase Transcripts'!$A:$DN,MATCH(A282,'Hoja 1 - Supabase Transcripts'!$A:$A,0),MATCH("gap_segmentation_"&amp;E282,'Hoja 1 - Supabase Transcripts'!$2:$2,0)),"not found")</f>
        <v>not found</v>
      </c>
    </row>
    <row r="283" spans="1:14" ht="409.5" customHeight="1">
      <c r="A283" t="s">
        <v>169</v>
      </c>
      <c r="B283">
        <v>1</v>
      </c>
      <c r="C283" t="s">
        <v>1176</v>
      </c>
      <c r="D283" t="s">
        <v>1177</v>
      </c>
      <c r="E283" t="s">
        <v>313</v>
      </c>
      <c r="F283" t="s">
        <v>1178</v>
      </c>
      <c r="G283" t="s">
        <v>1179</v>
      </c>
      <c r="H283">
        <v>0.9</v>
      </c>
      <c r="I283" t="s">
        <v>293</v>
      </c>
      <c r="J283" t="str">
        <f t="shared" si="4"/>
        <v>Protective attribution shifting</v>
      </c>
      <c r="K283" t="e">
        <f>_xlfn.XLOOKUP(J283,#REF!,#REF!,"0",0,1)</f>
        <v>#REF!</v>
      </c>
      <c r="N283" t="str">
        <f>IFERROR(INDEX('Hoja 1 - Supabase Transcripts'!$A:$DN,MATCH(A283,'Hoja 1 - Supabase Transcripts'!$A:$A,0),MATCH("gap_segmentation_"&amp;E283,'Hoja 1 - Supabase Transcripts'!$2:$2,0)),"not found")</f>
        <v>not found</v>
      </c>
    </row>
    <row r="284" spans="1:14" ht="409.5" customHeight="1">
      <c r="A284" t="s">
        <v>169</v>
      </c>
      <c r="B284">
        <v>1</v>
      </c>
      <c r="C284" t="s">
        <v>1176</v>
      </c>
      <c r="D284" t="s">
        <v>1180</v>
      </c>
      <c r="E284" t="s">
        <v>313</v>
      </c>
      <c r="F284" t="s">
        <v>1181</v>
      </c>
      <c r="G284" t="s">
        <v>1182</v>
      </c>
      <c r="H284">
        <v>0.78</v>
      </c>
      <c r="I284" t="s">
        <v>264</v>
      </c>
      <c r="J284" t="str">
        <f t="shared" si="4"/>
        <v>Concern content - FAMILY A</v>
      </c>
      <c r="K284"/>
      <c r="N284" t="str">
        <f>IFERROR(INDEX('Hoja 1 - Supabase Transcripts'!$A:$DN,MATCH(A284,'Hoja 1 - Supabase Transcripts'!$A:$A,0),MATCH("gap_segmentation_"&amp;E284,'Hoja 1 - Supabase Transcripts'!$2:$2,0)),"not found")</f>
        <v>not found</v>
      </c>
    </row>
    <row r="285" spans="1:14" ht="409.5" customHeight="1">
      <c r="A285" t="s">
        <v>169</v>
      </c>
      <c r="B285">
        <v>1</v>
      </c>
      <c r="C285" t="s">
        <v>1176</v>
      </c>
      <c r="D285" t="s">
        <v>1183</v>
      </c>
      <c r="E285" t="s">
        <v>261</v>
      </c>
      <c r="F285" t="s">
        <v>1184</v>
      </c>
      <c r="G285" t="s">
        <v>1185</v>
      </c>
      <c r="H285">
        <v>0.9</v>
      </c>
      <c r="I285" t="s">
        <v>274</v>
      </c>
      <c r="J285" t="str">
        <f t="shared" si="4"/>
        <v>FAMILY_A_CONCERN_CONTENT</v>
      </c>
      <c r="K285"/>
      <c r="N285" t="str">
        <f>IFERROR(INDEX('Hoja 1 - Supabase Transcripts'!$A:$DN,MATCH(A285,'Hoja 1 - Supabase Transcripts'!$A:$A,0),MATCH("gap_segmentation_"&amp;E285,'Hoja 1 - Supabase Transcripts'!$2:$2,0)),"not found")</f>
        <v>not found</v>
      </c>
    </row>
    <row r="286" spans="1:14" ht="409.5" customHeight="1">
      <c r="A286" t="s">
        <v>169</v>
      </c>
      <c r="B286">
        <v>1</v>
      </c>
      <c r="C286" t="s">
        <v>1176</v>
      </c>
      <c r="D286" t="s">
        <v>1186</v>
      </c>
      <c r="E286" t="s">
        <v>261</v>
      </c>
      <c r="F286" t="s">
        <v>1187</v>
      </c>
      <c r="G286" t="s">
        <v>1188</v>
      </c>
      <c r="H286">
        <v>0.85</v>
      </c>
      <c r="I286" t="s">
        <v>264</v>
      </c>
      <c r="J286" t="str">
        <f t="shared" si="4"/>
        <v>Concern content - FAMILY A</v>
      </c>
      <c r="K286"/>
      <c r="N286" t="str">
        <f>IFERROR(INDEX('Hoja 1 - Supabase Transcripts'!$A:$DN,MATCH(A286,'Hoja 1 - Supabase Transcripts'!$A:$A,0),MATCH("gap_segmentation_"&amp;E286,'Hoja 1 - Supabase Transcripts'!$2:$2,0)),"not found")</f>
        <v>not found</v>
      </c>
    </row>
    <row r="287" spans="1:14" ht="409.5" customHeight="1">
      <c r="A287" t="s">
        <v>169</v>
      </c>
      <c r="B287">
        <v>1</v>
      </c>
      <c r="C287" t="s">
        <v>1176</v>
      </c>
      <c r="D287" t="s">
        <v>1189</v>
      </c>
      <c r="E287" s="16" t="s">
        <v>266</v>
      </c>
      <c r="F287" t="s">
        <v>1190</v>
      </c>
      <c r="G287" t="s">
        <v>1191</v>
      </c>
      <c r="H287">
        <v>0.88</v>
      </c>
      <c r="I287" t="s">
        <v>289</v>
      </c>
      <c r="J287" t="str">
        <f t="shared" si="4"/>
        <v>Normalization of extreme conditions</v>
      </c>
      <c r="K287" t="e">
        <f>_xlfn.XLOOKUP(J287,#REF!,#REF!,"0",0,1)</f>
        <v>#REF!</v>
      </c>
      <c r="N287" t="str">
        <f>IFERROR(INDEX('Hoja 1 - Supabase Transcripts'!$A:$DN,MATCH(A287,'Hoja 1 - Supabase Transcripts'!$A:$A,0),MATCH("gap_segmentation_"&amp;E287,'Hoja 1 - Supabase Transcripts'!$2:$2,0)),"not found")</f>
        <v>not found</v>
      </c>
    </row>
    <row r="288" spans="1:14" ht="409.5" customHeight="1">
      <c r="A288" t="s">
        <v>169</v>
      </c>
      <c r="B288">
        <v>1</v>
      </c>
      <c r="C288" t="s">
        <v>1176</v>
      </c>
      <c r="D288" t="s">
        <v>1192</v>
      </c>
      <c r="E288" s="16" t="s">
        <v>266</v>
      </c>
      <c r="F288" t="s">
        <v>1193</v>
      </c>
      <c r="G288" t="s">
        <v>1194</v>
      </c>
      <c r="H288">
        <v>0.95</v>
      </c>
      <c r="I288" t="s">
        <v>289</v>
      </c>
      <c r="J288" t="str">
        <f t="shared" si="4"/>
        <v>Normalization of extreme conditions</v>
      </c>
      <c r="K288" t="e">
        <f>_xlfn.XLOOKUP(J288,#REF!,#REF!,"0",0,1)</f>
        <v>#REF!</v>
      </c>
      <c r="N288" t="str">
        <f>IFERROR(INDEX('Hoja 1 - Supabase Transcripts'!$A:$DN,MATCH(A288,'Hoja 1 - Supabase Transcripts'!$A:$A,0),MATCH("gap_segmentation_"&amp;E288,'Hoja 1 - Supabase Transcripts'!$2:$2,0)),"not found")</f>
        <v>not found</v>
      </c>
    </row>
    <row r="289" spans="1:14" ht="409.5" customHeight="1">
      <c r="A289" t="s">
        <v>169</v>
      </c>
      <c r="B289">
        <v>1</v>
      </c>
      <c r="C289" t="s">
        <v>1176</v>
      </c>
      <c r="D289" t="s">
        <v>1195</v>
      </c>
      <c r="E289" s="16" t="s">
        <v>266</v>
      </c>
      <c r="F289" t="s">
        <v>1196</v>
      </c>
      <c r="G289" t="s">
        <v>1197</v>
      </c>
      <c r="H289">
        <v>0.82</v>
      </c>
      <c r="I289" t="s">
        <v>289</v>
      </c>
      <c r="J289" t="str">
        <f t="shared" si="4"/>
        <v>Normalization of extreme conditions</v>
      </c>
      <c r="K289" t="e">
        <f>_xlfn.XLOOKUP(J289,#REF!,#REF!,"0",0,1)</f>
        <v>#REF!</v>
      </c>
      <c r="N289" t="str">
        <f>IFERROR(INDEX('Hoja 1 - Supabase Transcripts'!$A:$DN,MATCH(A289,'Hoja 1 - Supabase Transcripts'!$A:$A,0),MATCH("gap_segmentation_"&amp;E289,'Hoja 1 - Supabase Transcripts'!$2:$2,0)),"not found")</f>
        <v>not found</v>
      </c>
    </row>
    <row r="290" spans="1:14" ht="409.5" customHeight="1">
      <c r="A290" t="s">
        <v>226</v>
      </c>
      <c r="B290">
        <v>3</v>
      </c>
      <c r="C290" t="s">
        <v>1198</v>
      </c>
      <c r="D290" t="s">
        <v>1199</v>
      </c>
      <c r="E290" t="s">
        <v>429</v>
      </c>
      <c r="F290" t="s">
        <v>1200</v>
      </c>
      <c r="G290" t="s">
        <v>1201</v>
      </c>
      <c r="H290">
        <v>0.85</v>
      </c>
      <c r="I290" t="s">
        <v>667</v>
      </c>
      <c r="J290" t="str">
        <f t="shared" si="4"/>
        <v>Recognized but unescalated concerns</v>
      </c>
      <c r="K290" t="e">
        <f>_xlfn.XLOOKUP(J290,#REF!,#REF!,"0",0,1)</f>
        <v>#REF!</v>
      </c>
      <c r="N290" t="str">
        <f>IFERROR(INDEX('Hoja 1 - Supabase Transcripts'!$A:$DN,MATCH(A290,'Hoja 1 - Supabase Transcripts'!$A:$A,0),MATCH("gap_segmentation_"&amp;E290,'Hoja 1 - Supabase Transcripts'!$2:$2,0)),"not found")</f>
        <v>not found</v>
      </c>
    </row>
    <row r="291" spans="1:14" ht="409.5" customHeight="1">
      <c r="A291" t="s">
        <v>226</v>
      </c>
      <c r="B291">
        <v>3</v>
      </c>
      <c r="C291" t="s">
        <v>1198</v>
      </c>
      <c r="D291" t="s">
        <v>1202</v>
      </c>
      <c r="E291" t="s">
        <v>429</v>
      </c>
      <c r="F291" t="s">
        <v>1203</v>
      </c>
      <c r="G291" t="s">
        <v>1204</v>
      </c>
      <c r="H291">
        <v>0.75</v>
      </c>
      <c r="I291" t="s">
        <v>281</v>
      </c>
      <c r="J291" t="str">
        <f t="shared" si="4"/>
        <v>Aspirational framing of unmet needs</v>
      </c>
      <c r="K291" t="e">
        <f>_xlfn.XLOOKUP(J291,#REF!,#REF!,"0",0,1)</f>
        <v>#REF!</v>
      </c>
      <c r="N291" t="str">
        <f>IFERROR(INDEX('Hoja 1 - Supabase Transcripts'!$A:$DN,MATCH(A291,'Hoja 1 - Supabase Transcripts'!$A:$A,0),MATCH("gap_segmentation_"&amp;E291,'Hoja 1 - Supabase Transcripts'!$2:$2,0)),"not found")</f>
        <v>not found</v>
      </c>
    </row>
    <row r="292" spans="1:14" ht="409.5" customHeight="1">
      <c r="A292" t="s">
        <v>212</v>
      </c>
      <c r="B292">
        <v>2</v>
      </c>
      <c r="C292" t="s">
        <v>1205</v>
      </c>
      <c r="D292" t="s">
        <v>1206</v>
      </c>
      <c r="E292" t="s">
        <v>313</v>
      </c>
      <c r="F292" t="s">
        <v>1207</v>
      </c>
      <c r="G292" t="s">
        <v>1208</v>
      </c>
      <c r="H292">
        <v>0.92</v>
      </c>
      <c r="I292" t="s">
        <v>326</v>
      </c>
      <c r="J292" t="str">
        <f t="shared" si="4"/>
        <v>Hedged, qualified disclosure</v>
      </c>
      <c r="K292" t="e">
        <f>_xlfn.XLOOKUP(J292,#REF!,#REF!,"0",0,1)</f>
        <v>#REF!</v>
      </c>
      <c r="N292" t="str">
        <f>IFERROR(INDEX('Hoja 1 - Supabase Transcripts'!$A:$DN,MATCH(A292,'Hoja 1 - Supabase Transcripts'!$A:$A,0),MATCH("gap_segmentation_"&amp;E292,'Hoja 1 - Supabase Transcripts'!$2:$2,0)),"not found")</f>
        <v>not found</v>
      </c>
    </row>
    <row r="293" spans="1:14" ht="409.5" customHeight="1">
      <c r="A293" t="s">
        <v>212</v>
      </c>
      <c r="B293">
        <v>2</v>
      </c>
      <c r="C293" t="s">
        <v>1205</v>
      </c>
      <c r="D293" t="s">
        <v>1209</v>
      </c>
      <c r="E293" t="s">
        <v>313</v>
      </c>
      <c r="F293" t="s">
        <v>1210</v>
      </c>
      <c r="G293" t="s">
        <v>1211</v>
      </c>
      <c r="H293">
        <v>1</v>
      </c>
      <c r="I293" t="s">
        <v>415</v>
      </c>
      <c r="J293" t="str">
        <f t="shared" si="4"/>
        <v>Withholding under probing</v>
      </c>
      <c r="K293" t="e">
        <f>_xlfn.XLOOKUP(J293,#REF!,#REF!,"0",0,1)</f>
        <v>#REF!</v>
      </c>
      <c r="N293" t="str">
        <f>IFERROR(INDEX('Hoja 1 - Supabase Transcripts'!$A:$DN,MATCH(A293,'Hoja 1 - Supabase Transcripts'!$A:$A,0),MATCH("gap_segmentation_"&amp;E293,'Hoja 1 - Supabase Transcripts'!$2:$2,0)),"not found")</f>
        <v>not found</v>
      </c>
    </row>
    <row r="294" spans="1:14" ht="409.5" customHeight="1">
      <c r="A294" t="s">
        <v>212</v>
      </c>
      <c r="B294">
        <v>2</v>
      </c>
      <c r="C294" t="s">
        <v>1205</v>
      </c>
      <c r="D294" t="s">
        <v>1212</v>
      </c>
      <c r="E294" t="s">
        <v>256</v>
      </c>
      <c r="F294" t="s">
        <v>1213</v>
      </c>
      <c r="G294" t="s">
        <v>1214</v>
      </c>
      <c r="H294">
        <v>1</v>
      </c>
      <c r="I294" t="s">
        <v>264</v>
      </c>
      <c r="J294" t="str">
        <f t="shared" si="4"/>
        <v>Concern content - FAMILY A</v>
      </c>
      <c r="K294"/>
      <c r="N294" t="str">
        <f>IFERROR(INDEX('Hoja 1 - Supabase Transcripts'!$A:$DN,MATCH(A294,'Hoja 1 - Supabase Transcripts'!$A:$A,0),MATCH("gap_segmentation_"&amp;E294,'Hoja 1 - Supabase Transcripts'!$2:$2,0)),"not found")</f>
        <v>not found</v>
      </c>
    </row>
    <row r="295" spans="1:14" ht="409.5" customHeight="1">
      <c r="A295" t="s">
        <v>212</v>
      </c>
      <c r="B295">
        <v>2</v>
      </c>
      <c r="C295" t="s">
        <v>1205</v>
      </c>
      <c r="D295" t="s">
        <v>1215</v>
      </c>
      <c r="E295" t="s">
        <v>256</v>
      </c>
      <c r="F295" t="s">
        <v>1216</v>
      </c>
      <c r="G295" t="s">
        <v>1217</v>
      </c>
      <c r="H295">
        <v>1</v>
      </c>
      <c r="I295" t="s">
        <v>264</v>
      </c>
      <c r="J295" t="str">
        <f t="shared" si="4"/>
        <v>Concern content - FAMILY A</v>
      </c>
      <c r="K295"/>
      <c r="N295" t="str">
        <f>IFERROR(INDEX('Hoja 1 - Supabase Transcripts'!$A:$DN,MATCH(A295,'Hoja 1 - Supabase Transcripts'!$A:$A,0),MATCH("gap_segmentation_"&amp;E295,'Hoja 1 - Supabase Transcripts'!$2:$2,0)),"not found")</f>
        <v>not found</v>
      </c>
    </row>
    <row r="296" spans="1:14" ht="409.5" customHeight="1">
      <c r="A296" t="s">
        <v>212</v>
      </c>
      <c r="B296">
        <v>2</v>
      </c>
      <c r="C296" t="s">
        <v>1205</v>
      </c>
      <c r="D296" t="s">
        <v>1218</v>
      </c>
      <c r="E296" t="s">
        <v>261</v>
      </c>
      <c r="F296" t="s">
        <v>1219</v>
      </c>
      <c r="G296" t="s">
        <v>1220</v>
      </c>
      <c r="H296">
        <v>0.95</v>
      </c>
      <c r="I296" t="s">
        <v>264</v>
      </c>
      <c r="J296" t="str">
        <f t="shared" si="4"/>
        <v>Concern content - FAMILY A</v>
      </c>
      <c r="K296"/>
      <c r="N296" t="str">
        <f>IFERROR(INDEX('Hoja 1 - Supabase Transcripts'!$A:$DN,MATCH(A296,'Hoja 1 - Supabase Transcripts'!$A:$A,0),MATCH("gap_segmentation_"&amp;E296,'Hoja 1 - Supabase Transcripts'!$2:$2,0)),"not found")</f>
        <v>not found</v>
      </c>
    </row>
    <row r="297" spans="1:14" ht="409.5" customHeight="1">
      <c r="A297" t="s">
        <v>212</v>
      </c>
      <c r="B297">
        <v>2</v>
      </c>
      <c r="C297" t="s">
        <v>1205</v>
      </c>
      <c r="D297" t="s">
        <v>1221</v>
      </c>
      <c r="E297" t="s">
        <v>261</v>
      </c>
      <c r="F297" t="s">
        <v>1222</v>
      </c>
      <c r="G297" t="s">
        <v>1223</v>
      </c>
      <c r="H297">
        <v>0.9</v>
      </c>
      <c r="I297" t="s">
        <v>281</v>
      </c>
      <c r="J297" t="str">
        <f t="shared" si="4"/>
        <v>Aspirational framing of unmet needs</v>
      </c>
      <c r="K297" t="e">
        <f>_xlfn.XLOOKUP(J297,#REF!,#REF!,"0",0,1)</f>
        <v>#REF!</v>
      </c>
      <c r="N297" t="str">
        <f>IFERROR(INDEX('Hoja 1 - Supabase Transcripts'!$A:$DN,MATCH(A297,'Hoja 1 - Supabase Transcripts'!$A:$A,0),MATCH("gap_segmentation_"&amp;E297,'Hoja 1 - Supabase Transcripts'!$2:$2,0)),"not found")</f>
        <v>not found</v>
      </c>
    </row>
    <row r="298" spans="1:14" ht="409.5" customHeight="1">
      <c r="A298" t="s">
        <v>212</v>
      </c>
      <c r="B298">
        <v>2</v>
      </c>
      <c r="C298" t="s">
        <v>1205</v>
      </c>
      <c r="D298" t="s">
        <v>1224</v>
      </c>
      <c r="E298" t="s">
        <v>261</v>
      </c>
      <c r="F298" t="s">
        <v>1225</v>
      </c>
      <c r="G298" t="s">
        <v>1226</v>
      </c>
      <c r="H298">
        <v>1</v>
      </c>
      <c r="I298" t="s">
        <v>415</v>
      </c>
      <c r="J298" t="str">
        <f t="shared" si="4"/>
        <v>Withholding under probing</v>
      </c>
      <c r="K298" t="e">
        <f>_xlfn.XLOOKUP(J298,#REF!,#REF!,"0",0,1)</f>
        <v>#REF!</v>
      </c>
      <c r="N298" t="str">
        <f>IFERROR(INDEX('Hoja 1 - Supabase Transcripts'!$A:$DN,MATCH(A298,'Hoja 1 - Supabase Transcripts'!$A:$A,0),MATCH("gap_segmentation_"&amp;E298,'Hoja 1 - Supabase Transcripts'!$2:$2,0)),"not found")</f>
        <v>not found</v>
      </c>
    </row>
    <row r="299" spans="1:14" ht="409.5" customHeight="1">
      <c r="A299" t="s">
        <v>212</v>
      </c>
      <c r="B299">
        <v>2</v>
      </c>
      <c r="C299" t="s">
        <v>1205</v>
      </c>
      <c r="D299" t="s">
        <v>1227</v>
      </c>
      <c r="E299" t="s">
        <v>261</v>
      </c>
      <c r="F299" t="s">
        <v>1228</v>
      </c>
      <c r="G299" t="s">
        <v>1229</v>
      </c>
      <c r="H299">
        <v>1</v>
      </c>
      <c r="I299" t="s">
        <v>264</v>
      </c>
      <c r="J299" t="str">
        <f t="shared" si="4"/>
        <v>Concern content - FAMILY A</v>
      </c>
      <c r="K299"/>
      <c r="N299" t="str">
        <f>IFERROR(INDEX('Hoja 1 - Supabase Transcripts'!$A:$DN,MATCH(A299,'Hoja 1 - Supabase Transcripts'!$A:$A,0),MATCH("gap_segmentation_"&amp;E299,'Hoja 1 - Supabase Transcripts'!$2:$2,0)),"not found")</f>
        <v>not found</v>
      </c>
    </row>
    <row r="300" spans="1:14" ht="409.5" customHeight="1">
      <c r="A300" t="s">
        <v>212</v>
      </c>
      <c r="B300">
        <v>2</v>
      </c>
      <c r="C300" t="s">
        <v>1205</v>
      </c>
      <c r="D300" t="s">
        <v>1230</v>
      </c>
      <c r="E300" t="s">
        <v>266</v>
      </c>
      <c r="F300" t="s">
        <v>1231</v>
      </c>
      <c r="G300" t="s">
        <v>1232</v>
      </c>
      <c r="H300">
        <v>0.9</v>
      </c>
      <c r="I300" t="s">
        <v>264</v>
      </c>
      <c r="J300" t="str">
        <f t="shared" si="4"/>
        <v>Concern content - FAMILY A</v>
      </c>
      <c r="K300"/>
      <c r="N300" t="str">
        <f>IFERROR(INDEX('Hoja 1 - Supabase Transcripts'!$A:$DN,MATCH(A300,'Hoja 1 - Supabase Transcripts'!$A:$A,0),MATCH("gap_segmentation_"&amp;E300,'Hoja 1 - Supabase Transcripts'!$2:$2,0)),"not found")</f>
        <v>not found</v>
      </c>
    </row>
    <row r="301" spans="1:14" ht="409.5" customHeight="1">
      <c r="A301" t="s">
        <v>212</v>
      </c>
      <c r="B301">
        <v>2</v>
      </c>
      <c r="C301" t="s">
        <v>1205</v>
      </c>
      <c r="D301" t="s">
        <v>1233</v>
      </c>
      <c r="E301" t="s">
        <v>266</v>
      </c>
      <c r="F301" t="s">
        <v>1234</v>
      </c>
      <c r="G301" t="s">
        <v>1235</v>
      </c>
      <c r="H301">
        <v>0.95</v>
      </c>
      <c r="I301" t="s">
        <v>274</v>
      </c>
      <c r="J301" t="str">
        <f t="shared" si="4"/>
        <v>FAMILY_A_CONCERN_CONTENT</v>
      </c>
      <c r="K301"/>
      <c r="N301" t="str">
        <f>IFERROR(INDEX('Hoja 1 - Supabase Transcripts'!$A:$DN,MATCH(A301,'Hoja 1 - Supabase Transcripts'!$A:$A,0),MATCH("gap_segmentation_"&amp;E301,'Hoja 1 - Supabase Transcripts'!$2:$2,0)),"not found")</f>
        <v>not found</v>
      </c>
    </row>
    <row r="302" spans="1:14" ht="252" customHeight="1">
      <c r="A302" t="s">
        <v>230</v>
      </c>
      <c r="B302">
        <v>5</v>
      </c>
      <c r="C302" t="s">
        <v>1236</v>
      </c>
      <c r="D302" t="s">
        <v>1237</v>
      </c>
      <c r="E302" s="16" t="s">
        <v>266</v>
      </c>
      <c r="F302" t="s">
        <v>1238</v>
      </c>
      <c r="G302" t="s">
        <v>1239</v>
      </c>
      <c r="H302">
        <v>0.75</v>
      </c>
      <c r="I302" t="s">
        <v>310</v>
      </c>
      <c r="J302" t="str">
        <f t="shared" si="4"/>
        <v>Hedged, qualified disclosure</v>
      </c>
      <c r="K302" t="e">
        <f>_xlfn.XLOOKUP(J302,#REF!,#REF!,"0",0,1)</f>
        <v>#REF!</v>
      </c>
      <c r="N302" t="str">
        <f>IFERROR(INDEX('Hoja 1 - Supabase Transcripts'!$A:$DN,MATCH(A302,'Hoja 1 - Supabase Transcripts'!$A:$A,0),MATCH("gap_segmentation_"&amp;E302,'Hoja 1 - Supabase Transcripts'!$2:$2,0)),"not found")</f>
        <v>not found</v>
      </c>
    </row>
    <row r="303" spans="1:14" ht="409.5" customHeight="1">
      <c r="A303" t="s">
        <v>179</v>
      </c>
      <c r="B303">
        <v>2</v>
      </c>
      <c r="C303" t="s">
        <v>1240</v>
      </c>
      <c r="D303" t="s">
        <v>1241</v>
      </c>
      <c r="E303" t="s">
        <v>256</v>
      </c>
      <c r="F303" t="s">
        <v>1242</v>
      </c>
      <c r="G303" t="s">
        <v>1243</v>
      </c>
      <c r="H303">
        <v>0.7</v>
      </c>
      <c r="I303" t="s">
        <v>264</v>
      </c>
      <c r="J303" t="str">
        <f t="shared" si="4"/>
        <v>Concern content - FAMILY A</v>
      </c>
      <c r="K303"/>
      <c r="N303" t="str">
        <f>IFERROR(INDEX('Hoja 1 - Supabase Transcripts'!$A:$DN,MATCH(A303,'Hoja 1 - Supabase Transcripts'!$A:$A,0),MATCH("gap_segmentation_"&amp;E303,'Hoja 1 - Supabase Transcripts'!$2:$2,0)),"not found")</f>
        <v>not found</v>
      </c>
    </row>
    <row r="304" spans="1:14" ht="409.5" customHeight="1">
      <c r="A304" t="s">
        <v>179</v>
      </c>
      <c r="B304">
        <v>2</v>
      </c>
      <c r="C304" t="s">
        <v>1240</v>
      </c>
      <c r="D304" t="s">
        <v>1244</v>
      </c>
      <c r="E304" t="s">
        <v>266</v>
      </c>
      <c r="F304" t="s">
        <v>1245</v>
      </c>
      <c r="G304" t="s">
        <v>1246</v>
      </c>
      <c r="H304">
        <v>0.85</v>
      </c>
      <c r="I304" t="s">
        <v>264</v>
      </c>
      <c r="J304" t="str">
        <f t="shared" si="4"/>
        <v>Concern content - FAMILY A</v>
      </c>
      <c r="K304"/>
      <c r="N304" t="str">
        <f>IFERROR(INDEX('Hoja 1 - Supabase Transcripts'!$A:$DN,MATCH(A304,'Hoja 1 - Supabase Transcripts'!$A:$A,0),MATCH("gap_segmentation_"&amp;E304,'Hoja 1 - Supabase Transcripts'!$2:$2,0)),"not found")</f>
        <v>not found</v>
      </c>
    </row>
    <row r="305" spans="1:14" ht="409.5" customHeight="1">
      <c r="A305" t="s">
        <v>179</v>
      </c>
      <c r="B305">
        <v>2</v>
      </c>
      <c r="C305" t="s">
        <v>1240</v>
      </c>
      <c r="D305" t="s">
        <v>1247</v>
      </c>
      <c r="E305" s="16" t="s">
        <v>266</v>
      </c>
      <c r="F305" t="s">
        <v>1248</v>
      </c>
      <c r="G305" t="s">
        <v>1249</v>
      </c>
      <c r="H305">
        <v>0.75</v>
      </c>
      <c r="I305" t="s">
        <v>293</v>
      </c>
      <c r="J305" t="str">
        <f t="shared" si="4"/>
        <v>Protective attribution shifting</v>
      </c>
      <c r="K305" t="e">
        <f>_xlfn.XLOOKUP(J305,#REF!,#REF!,"0",0,1)</f>
        <v>#REF!</v>
      </c>
      <c r="N305" t="str">
        <f>IFERROR(INDEX('Hoja 1 - Supabase Transcripts'!$A:$DN,MATCH(A305,'Hoja 1 - Supabase Transcripts'!$A:$A,0),MATCH("gap_segmentation_"&amp;E305,'Hoja 1 - Supabase Transcripts'!$2:$2,0)),"not found")</f>
        <v>not found</v>
      </c>
    </row>
    <row r="306" spans="1:14" ht="332" customHeight="1">
      <c r="A306" t="s">
        <v>193</v>
      </c>
      <c r="B306">
        <v>2</v>
      </c>
      <c r="C306" t="s">
        <v>1250</v>
      </c>
      <c r="D306" t="s">
        <v>1251</v>
      </c>
      <c r="E306" t="s">
        <v>266</v>
      </c>
      <c r="F306" t="s">
        <v>1252</v>
      </c>
      <c r="G306" t="s">
        <v>1253</v>
      </c>
      <c r="H306">
        <v>0.95</v>
      </c>
      <c r="I306" t="s">
        <v>264</v>
      </c>
      <c r="J306" t="str">
        <f t="shared" si="4"/>
        <v>Concern content - FAMILY A</v>
      </c>
      <c r="K306"/>
      <c r="N306" t="str">
        <f>IFERROR(INDEX('Hoja 1 - Supabase Transcripts'!$A:$DN,MATCH(A306,'Hoja 1 - Supabase Transcripts'!$A:$A,0),MATCH("gap_segmentation_"&amp;E306,'Hoja 1 - Supabase Transcripts'!$2:$2,0)),"not found")</f>
        <v>not found</v>
      </c>
    </row>
    <row r="307" spans="1:14" ht="409.5" customHeight="1">
      <c r="A307" t="s">
        <v>203</v>
      </c>
      <c r="B307">
        <v>1</v>
      </c>
      <c r="C307" t="s">
        <v>1254</v>
      </c>
      <c r="D307" t="s">
        <v>1255</v>
      </c>
      <c r="E307" t="s">
        <v>313</v>
      </c>
      <c r="F307" t="s">
        <v>1256</v>
      </c>
      <c r="G307" t="s">
        <v>1257</v>
      </c>
      <c r="H307">
        <v>0.82</v>
      </c>
      <c r="I307" t="s">
        <v>264</v>
      </c>
      <c r="J307" t="str">
        <f t="shared" si="4"/>
        <v>Concern content - FAMILY A</v>
      </c>
      <c r="K307"/>
      <c r="N307" t="str">
        <f>IFERROR(INDEX('Hoja 1 - Supabase Transcripts'!$A:$DN,MATCH(A307,'Hoja 1 - Supabase Transcripts'!$A:$A,0),MATCH("gap_segmentation_"&amp;E307,'Hoja 1 - Supabase Transcripts'!$2:$2,0)),"not found")</f>
        <v>not found</v>
      </c>
    </row>
    <row r="308" spans="1:14" ht="409.5" customHeight="1">
      <c r="A308" t="s">
        <v>203</v>
      </c>
      <c r="B308">
        <v>1</v>
      </c>
      <c r="C308" t="s">
        <v>1254</v>
      </c>
      <c r="D308" t="s">
        <v>1258</v>
      </c>
      <c r="E308" s="19" t="s">
        <v>256</v>
      </c>
      <c r="F308" t="s">
        <v>1259</v>
      </c>
      <c r="G308" t="s">
        <v>1260</v>
      </c>
      <c r="H308">
        <v>0.75</v>
      </c>
      <c r="I308" t="s">
        <v>435</v>
      </c>
      <c r="J308" t="str">
        <f t="shared" si="4"/>
        <v>Disclaiming assessment capacity</v>
      </c>
      <c r="K308" t="e">
        <f>_xlfn.XLOOKUP(J308,#REF!,#REF!,"0",0,1)</f>
        <v>#REF!</v>
      </c>
      <c r="N308" t="str">
        <f>IFERROR(INDEX('Hoja 1 - Supabase Transcripts'!$A:$DN,MATCH(A308,'Hoja 1 - Supabase Transcripts'!$A:$A,0),MATCH("gap_segmentation_"&amp;E308,'Hoja 1 - Supabase Transcripts'!$2:$2,0)),"not found")</f>
        <v>not found</v>
      </c>
    </row>
    <row r="309" spans="1:14" ht="409.5" customHeight="1">
      <c r="A309" t="s">
        <v>203</v>
      </c>
      <c r="B309">
        <v>1</v>
      </c>
      <c r="C309" t="s">
        <v>1254</v>
      </c>
      <c r="D309" t="s">
        <v>1261</v>
      </c>
      <c r="E309" s="19" t="s">
        <v>256</v>
      </c>
      <c r="F309" t="s">
        <v>1262</v>
      </c>
      <c r="G309" t="s">
        <v>1263</v>
      </c>
      <c r="H309">
        <v>0.87</v>
      </c>
      <c r="I309" t="s">
        <v>435</v>
      </c>
      <c r="J309" t="str">
        <f t="shared" si="4"/>
        <v>Disclaiming assessment capacity</v>
      </c>
      <c r="K309" t="e">
        <f>_xlfn.XLOOKUP(J309,#REF!,#REF!,"0",0,1)</f>
        <v>#REF!</v>
      </c>
      <c r="N309" t="str">
        <f>IFERROR(INDEX('Hoja 1 - Supabase Transcripts'!$A:$DN,MATCH(A309,'Hoja 1 - Supabase Transcripts'!$A:$A,0),MATCH("gap_segmentation_"&amp;E309,'Hoja 1 - Supabase Transcripts'!$2:$2,0)),"not found")</f>
        <v>not found</v>
      </c>
    </row>
    <row r="310" spans="1:14" ht="409.5" customHeight="1">
      <c r="A310" t="s">
        <v>203</v>
      </c>
      <c r="B310">
        <v>1</v>
      </c>
      <c r="C310" t="s">
        <v>1254</v>
      </c>
      <c r="D310" t="s">
        <v>1264</v>
      </c>
      <c r="E310" t="s">
        <v>261</v>
      </c>
      <c r="F310" t="s">
        <v>1265</v>
      </c>
      <c r="G310" t="s">
        <v>1266</v>
      </c>
      <c r="H310">
        <v>0.9</v>
      </c>
      <c r="I310" t="s">
        <v>264</v>
      </c>
      <c r="J310" t="str">
        <f t="shared" si="4"/>
        <v>Concern content - FAMILY A</v>
      </c>
      <c r="K310"/>
      <c r="N310" t="str">
        <f>IFERROR(INDEX('Hoja 1 - Supabase Transcripts'!$A:$DN,MATCH(A310,'Hoja 1 - Supabase Transcripts'!$A:$A,0),MATCH("gap_segmentation_"&amp;E310,'Hoja 1 - Supabase Transcripts'!$2:$2,0)),"not found")</f>
        <v>not found</v>
      </c>
    </row>
    <row r="311" spans="1:14" ht="409.5" customHeight="1">
      <c r="A311" t="s">
        <v>203</v>
      </c>
      <c r="B311">
        <v>1</v>
      </c>
      <c r="C311" t="s">
        <v>1254</v>
      </c>
      <c r="D311" t="s">
        <v>1267</v>
      </c>
      <c r="E311" t="s">
        <v>261</v>
      </c>
      <c r="F311" t="s">
        <v>1268</v>
      </c>
      <c r="G311" t="s">
        <v>1269</v>
      </c>
      <c r="H311">
        <v>0.85</v>
      </c>
      <c r="I311" t="s">
        <v>293</v>
      </c>
      <c r="J311" t="str">
        <f t="shared" si="4"/>
        <v>Protective attribution shifting</v>
      </c>
      <c r="K311" t="e">
        <f>_xlfn.XLOOKUP(J311,#REF!,#REF!,"0",0,1)</f>
        <v>#REF!</v>
      </c>
      <c r="N311" t="str">
        <f>IFERROR(INDEX('Hoja 1 - Supabase Transcripts'!$A:$DN,MATCH(A311,'Hoja 1 - Supabase Transcripts'!$A:$A,0),MATCH("gap_segmentation_"&amp;E311,'Hoja 1 - Supabase Transcripts'!$2:$2,0)),"not found")</f>
        <v>not found</v>
      </c>
    </row>
    <row r="312" spans="1:14" ht="409.5" customHeight="1">
      <c r="A312" t="s">
        <v>203</v>
      </c>
      <c r="B312">
        <v>1</v>
      </c>
      <c r="C312" t="s">
        <v>1254</v>
      </c>
      <c r="D312" t="s">
        <v>1270</v>
      </c>
      <c r="E312" s="16" t="s">
        <v>266</v>
      </c>
      <c r="F312" t="s">
        <v>1271</v>
      </c>
      <c r="G312" t="s">
        <v>1272</v>
      </c>
      <c r="H312">
        <v>0.88</v>
      </c>
      <c r="I312" t="s">
        <v>289</v>
      </c>
      <c r="J312" t="str">
        <f t="shared" si="4"/>
        <v>Normalization of extreme conditions</v>
      </c>
      <c r="K312" t="e">
        <f>_xlfn.XLOOKUP(J312,#REF!,#REF!,"0",0,1)</f>
        <v>#REF!</v>
      </c>
      <c r="N312" t="str">
        <f>IFERROR(INDEX('Hoja 1 - Supabase Transcripts'!$A:$DN,MATCH(A312,'Hoja 1 - Supabase Transcripts'!$A:$A,0),MATCH("gap_segmentation_"&amp;E312,'Hoja 1 - Supabase Transcripts'!$2:$2,0)),"not found")</f>
        <v>not found</v>
      </c>
    </row>
    <row r="313" spans="1:14" ht="409.5" customHeight="1">
      <c r="A313" t="s">
        <v>203</v>
      </c>
      <c r="B313">
        <v>1</v>
      </c>
      <c r="C313" t="s">
        <v>1254</v>
      </c>
      <c r="D313" t="s">
        <v>1273</v>
      </c>
      <c r="E313" t="s">
        <v>266</v>
      </c>
      <c r="F313" t="s">
        <v>1274</v>
      </c>
      <c r="G313" t="s">
        <v>1275</v>
      </c>
      <c r="H313">
        <v>0.9</v>
      </c>
      <c r="I313" t="s">
        <v>264</v>
      </c>
      <c r="J313" t="str">
        <f t="shared" si="4"/>
        <v>Concern content - FAMILY A</v>
      </c>
      <c r="K313"/>
      <c r="N313" t="str">
        <f>IFERROR(INDEX('Hoja 1 - Supabase Transcripts'!$A:$DN,MATCH(A313,'Hoja 1 - Supabase Transcripts'!$A:$A,0),MATCH("gap_segmentation_"&amp;E313,'Hoja 1 - Supabase Transcripts'!$2:$2,0)),"not found")</f>
        <v>not found</v>
      </c>
    </row>
    <row r="314" spans="1:14" ht="409.5" customHeight="1">
      <c r="A314" t="s">
        <v>207</v>
      </c>
      <c r="B314">
        <v>1</v>
      </c>
      <c r="C314" t="s">
        <v>1276</v>
      </c>
      <c r="D314" t="s">
        <v>1277</v>
      </c>
      <c r="E314" t="s">
        <v>313</v>
      </c>
      <c r="F314" t="s">
        <v>1278</v>
      </c>
      <c r="G314" t="s">
        <v>1279</v>
      </c>
      <c r="H314">
        <v>0.95</v>
      </c>
      <c r="I314" t="s">
        <v>264</v>
      </c>
      <c r="J314" t="str">
        <f t="shared" si="4"/>
        <v>Concern content - FAMILY A</v>
      </c>
      <c r="K314"/>
      <c r="N314" t="str">
        <f>IFERROR(INDEX('Hoja 1 - Supabase Transcripts'!$A:$DN,MATCH(A314,'Hoja 1 - Supabase Transcripts'!$A:$A,0),MATCH("gap_segmentation_"&amp;E314,'Hoja 1 - Supabase Transcripts'!$2:$2,0)),"not found")</f>
        <v>not found</v>
      </c>
    </row>
    <row r="315" spans="1:14" ht="409.5" customHeight="1">
      <c r="A315" t="s">
        <v>207</v>
      </c>
      <c r="B315">
        <v>1</v>
      </c>
      <c r="C315" t="s">
        <v>1276</v>
      </c>
      <c r="D315" t="s">
        <v>1280</v>
      </c>
      <c r="E315" t="s">
        <v>313</v>
      </c>
      <c r="F315" t="s">
        <v>1281</v>
      </c>
      <c r="G315" t="s">
        <v>1282</v>
      </c>
      <c r="H315">
        <v>0.9</v>
      </c>
      <c r="I315" t="s">
        <v>624</v>
      </c>
      <c r="J315" t="str">
        <f t="shared" si="4"/>
        <v>Anticipated futility of voice</v>
      </c>
      <c r="K315" t="e">
        <f>_xlfn.XLOOKUP(J315,#REF!,#REF!,"0",0,1)</f>
        <v>#REF!</v>
      </c>
      <c r="N315" t="str">
        <f>IFERROR(INDEX('Hoja 1 - Supabase Transcripts'!$A:$DN,MATCH(A315,'Hoja 1 - Supabase Transcripts'!$A:$A,0),MATCH("gap_segmentation_"&amp;E315,'Hoja 1 - Supabase Transcripts'!$2:$2,0)),"not found")</f>
        <v>not found</v>
      </c>
    </row>
    <row r="316" spans="1:14" ht="409.5" customHeight="1">
      <c r="A316" t="s">
        <v>207</v>
      </c>
      <c r="B316">
        <v>1</v>
      </c>
      <c r="C316" t="s">
        <v>1276</v>
      </c>
      <c r="D316" t="s">
        <v>1283</v>
      </c>
      <c r="E316" t="s">
        <v>313</v>
      </c>
      <c r="F316" t="s">
        <v>1284</v>
      </c>
      <c r="G316" t="s">
        <v>1285</v>
      </c>
      <c r="H316">
        <v>0.95</v>
      </c>
      <c r="I316" t="s">
        <v>274</v>
      </c>
      <c r="J316" t="str">
        <f t="shared" si="4"/>
        <v>FAMILY_A_CONCERN_CONTENT</v>
      </c>
      <c r="K316"/>
      <c r="N316" t="str">
        <f>IFERROR(INDEX('Hoja 1 - Supabase Transcripts'!$A:$DN,MATCH(A316,'Hoja 1 - Supabase Transcripts'!$A:$A,0),MATCH("gap_segmentation_"&amp;E316,'Hoja 1 - Supabase Transcripts'!$2:$2,0)),"not found")</f>
        <v>not found</v>
      </c>
    </row>
    <row r="317" spans="1:14" ht="409.5" customHeight="1">
      <c r="A317" t="s">
        <v>207</v>
      </c>
      <c r="B317">
        <v>1</v>
      </c>
      <c r="C317" t="s">
        <v>1276</v>
      </c>
      <c r="D317" t="s">
        <v>1286</v>
      </c>
      <c r="E317" t="s">
        <v>313</v>
      </c>
      <c r="F317" t="s">
        <v>1287</v>
      </c>
      <c r="G317" t="s">
        <v>1288</v>
      </c>
      <c r="H317">
        <v>0.9</v>
      </c>
      <c r="I317" t="s">
        <v>274</v>
      </c>
      <c r="J317" t="str">
        <f t="shared" si="4"/>
        <v>FAMILY_A_CONCERN_CONTENT</v>
      </c>
      <c r="K317"/>
      <c r="N317" t="str">
        <f>IFERROR(INDEX('Hoja 1 - Supabase Transcripts'!$A:$DN,MATCH(A317,'Hoja 1 - Supabase Transcripts'!$A:$A,0),MATCH("gap_segmentation_"&amp;E317,'Hoja 1 - Supabase Transcripts'!$2:$2,0)),"not found")</f>
        <v>not found</v>
      </c>
    </row>
    <row r="318" spans="1:14" ht="409.5" customHeight="1">
      <c r="A318" t="s">
        <v>207</v>
      </c>
      <c r="B318">
        <v>1</v>
      </c>
      <c r="C318" t="s">
        <v>1276</v>
      </c>
      <c r="D318" t="s">
        <v>1289</v>
      </c>
      <c r="E318" t="s">
        <v>313</v>
      </c>
      <c r="F318" t="s">
        <v>1290</v>
      </c>
      <c r="G318" t="s">
        <v>1291</v>
      </c>
      <c r="H318">
        <v>0.95</v>
      </c>
      <c r="I318" t="s">
        <v>264</v>
      </c>
      <c r="J318" t="str">
        <f t="shared" si="4"/>
        <v>Concern content - FAMILY A</v>
      </c>
      <c r="K318"/>
      <c r="N318" t="str">
        <f>IFERROR(INDEX('Hoja 1 - Supabase Transcripts'!$A:$DN,MATCH(A318,'Hoja 1 - Supabase Transcripts'!$A:$A,0),MATCH("gap_segmentation_"&amp;E318,'Hoja 1 - Supabase Transcripts'!$2:$2,0)),"not found")</f>
        <v>not found</v>
      </c>
    </row>
    <row r="319" spans="1:14" ht="409.5" customHeight="1">
      <c r="A319" t="s">
        <v>207</v>
      </c>
      <c r="B319">
        <v>1</v>
      </c>
      <c r="C319" t="s">
        <v>1276</v>
      </c>
      <c r="D319" t="s">
        <v>1292</v>
      </c>
      <c r="E319" t="s">
        <v>261</v>
      </c>
      <c r="F319" t="s">
        <v>1293</v>
      </c>
      <c r="G319" t="s">
        <v>1294</v>
      </c>
      <c r="H319">
        <v>0.95</v>
      </c>
      <c r="I319" t="s">
        <v>264</v>
      </c>
      <c r="J319" t="str">
        <f t="shared" si="4"/>
        <v>Concern content - FAMILY A</v>
      </c>
      <c r="K319"/>
      <c r="N319" t="str">
        <f>IFERROR(INDEX('Hoja 1 - Supabase Transcripts'!$A:$DN,MATCH(A319,'Hoja 1 - Supabase Transcripts'!$A:$A,0),MATCH("gap_segmentation_"&amp;E319,'Hoja 1 - Supabase Transcripts'!$2:$2,0)),"not found")</f>
        <v>not found</v>
      </c>
    </row>
    <row r="320" spans="1:14" ht="409.5" customHeight="1">
      <c r="A320" t="s">
        <v>207</v>
      </c>
      <c r="B320">
        <v>1</v>
      </c>
      <c r="C320" t="s">
        <v>1276</v>
      </c>
      <c r="D320" t="s">
        <v>1295</v>
      </c>
      <c r="E320" t="s">
        <v>261</v>
      </c>
      <c r="F320" t="s">
        <v>1296</v>
      </c>
      <c r="G320" t="s">
        <v>1297</v>
      </c>
      <c r="H320">
        <v>0.95</v>
      </c>
      <c r="I320" t="s">
        <v>264</v>
      </c>
      <c r="J320" t="str">
        <f t="shared" si="4"/>
        <v>Concern content - FAMILY A</v>
      </c>
      <c r="K320"/>
      <c r="N320" t="str">
        <f>IFERROR(INDEX('Hoja 1 - Supabase Transcripts'!$A:$DN,MATCH(A320,'Hoja 1 - Supabase Transcripts'!$A:$A,0),MATCH("gap_segmentation_"&amp;E320,'Hoja 1 - Supabase Transcripts'!$2:$2,0)),"not found")</f>
        <v>not found</v>
      </c>
    </row>
    <row r="321" spans="1:14" ht="409.5" customHeight="1">
      <c r="A321" t="s">
        <v>207</v>
      </c>
      <c r="B321">
        <v>1</v>
      </c>
      <c r="C321" t="s">
        <v>1276</v>
      </c>
      <c r="D321" t="s">
        <v>1298</v>
      </c>
      <c r="E321" t="s">
        <v>261</v>
      </c>
      <c r="F321" t="s">
        <v>1299</v>
      </c>
      <c r="G321" t="s">
        <v>1300</v>
      </c>
      <c r="H321">
        <v>0.95</v>
      </c>
      <c r="I321" t="s">
        <v>264</v>
      </c>
      <c r="J321" t="str">
        <f t="shared" si="4"/>
        <v>Concern content - FAMILY A</v>
      </c>
      <c r="K321"/>
      <c r="N321" t="str">
        <f>IFERROR(INDEX('Hoja 1 - Supabase Transcripts'!$A:$DN,MATCH(A321,'Hoja 1 - Supabase Transcripts'!$A:$A,0),MATCH("gap_segmentation_"&amp;E321,'Hoja 1 - Supabase Transcripts'!$2:$2,0)),"not found")</f>
        <v>not found</v>
      </c>
    </row>
    <row r="322" spans="1:14" ht="409.5" customHeight="1">
      <c r="A322" t="s">
        <v>207</v>
      </c>
      <c r="B322">
        <v>1</v>
      </c>
      <c r="C322" t="s">
        <v>1276</v>
      </c>
      <c r="D322" t="s">
        <v>1301</v>
      </c>
      <c r="E322" t="s">
        <v>261</v>
      </c>
      <c r="F322" t="s">
        <v>1302</v>
      </c>
      <c r="G322" t="s">
        <v>1303</v>
      </c>
      <c r="H322">
        <v>0.95</v>
      </c>
      <c r="I322" t="s">
        <v>293</v>
      </c>
      <c r="J322" t="str">
        <f t="shared" ref="J322:J385" si="5">IF(OR(I322="Epistemic hedging",I322="Qualifying severity while disclosing",I322="Downgrading emotional intensity"),"Hedged, qualified disclosure",IF(OR(I322="Externalizing accountability",I322="Self-attributing structural problems"),"Protective attribution shifting",IF(OR(I322="Refusal to elaborate under probing",I322="Retracting or qualifying disclosure"),"Withholding under probing",IF(OR(I322="Managing traceability and exposure",I322="Compartmentalizing the AI channel"),"Channel exposure management",IF(OR(I322="Skepticism toward remedy",I322="Anticipating dismissal or misrecognition"),"Anticipated futility of voice",IF(OR(I322="Calling out known but unaddressed issues",I322="Silence within expression"),"Recognized but unescalated concerns",I322))))))</f>
        <v>Protective attribution shifting</v>
      </c>
      <c r="K322" t="e">
        <f>_xlfn.XLOOKUP(J322,#REF!,#REF!,"0",0,1)</f>
        <v>#REF!</v>
      </c>
      <c r="N322" t="str">
        <f>IFERROR(INDEX('Hoja 1 - Supabase Transcripts'!$A:$DN,MATCH(A322,'Hoja 1 - Supabase Transcripts'!$A:$A,0),MATCH("gap_segmentation_"&amp;E322,'Hoja 1 - Supabase Transcripts'!$2:$2,0)),"not found")</f>
        <v>not found</v>
      </c>
    </row>
    <row r="323" spans="1:14" ht="409.5" customHeight="1">
      <c r="A323" t="s">
        <v>207</v>
      </c>
      <c r="B323">
        <v>1</v>
      </c>
      <c r="C323" t="s">
        <v>1276</v>
      </c>
      <c r="D323" t="s">
        <v>1304</v>
      </c>
      <c r="E323" t="s">
        <v>261</v>
      </c>
      <c r="F323" t="s">
        <v>1305</v>
      </c>
      <c r="G323" t="s">
        <v>1306</v>
      </c>
      <c r="H323">
        <v>0.9</v>
      </c>
      <c r="I323" t="s">
        <v>264</v>
      </c>
      <c r="J323" t="str">
        <f t="shared" si="5"/>
        <v>Concern content - FAMILY A</v>
      </c>
      <c r="K323"/>
      <c r="N323" t="str">
        <f>IFERROR(INDEX('Hoja 1 - Supabase Transcripts'!$A:$DN,MATCH(A323,'Hoja 1 - Supabase Transcripts'!$A:$A,0),MATCH("gap_segmentation_"&amp;E323,'Hoja 1 - Supabase Transcripts'!$2:$2,0)),"not found")</f>
        <v>not found</v>
      </c>
    </row>
    <row r="324" spans="1:14" ht="409.5" customHeight="1">
      <c r="A324" t="s">
        <v>207</v>
      </c>
      <c r="B324">
        <v>1</v>
      </c>
      <c r="C324" t="s">
        <v>1276</v>
      </c>
      <c r="D324" t="s">
        <v>1307</v>
      </c>
      <c r="E324" t="s">
        <v>261</v>
      </c>
      <c r="F324" t="s">
        <v>1308</v>
      </c>
      <c r="G324" t="s">
        <v>1309</v>
      </c>
      <c r="H324">
        <v>0.95</v>
      </c>
      <c r="I324" t="s">
        <v>264</v>
      </c>
      <c r="J324" t="str">
        <f t="shared" si="5"/>
        <v>Concern content - FAMILY A</v>
      </c>
      <c r="K324"/>
      <c r="N324" t="str">
        <f>IFERROR(INDEX('Hoja 1 - Supabase Transcripts'!$A:$DN,MATCH(A324,'Hoja 1 - Supabase Transcripts'!$A:$A,0),MATCH("gap_segmentation_"&amp;E324,'Hoja 1 - Supabase Transcripts'!$2:$2,0)),"not found")</f>
        <v>not found</v>
      </c>
    </row>
    <row r="325" spans="1:14" ht="409.5" customHeight="1">
      <c r="A325" t="s">
        <v>207</v>
      </c>
      <c r="B325">
        <v>1</v>
      </c>
      <c r="C325" t="s">
        <v>1276</v>
      </c>
      <c r="D325" t="s">
        <v>1310</v>
      </c>
      <c r="E325" t="s">
        <v>261</v>
      </c>
      <c r="F325" t="s">
        <v>1311</v>
      </c>
      <c r="G325" t="s">
        <v>1312</v>
      </c>
      <c r="H325">
        <v>0.9</v>
      </c>
      <c r="I325" t="s">
        <v>264</v>
      </c>
      <c r="J325" t="str">
        <f t="shared" si="5"/>
        <v>Concern content - FAMILY A</v>
      </c>
      <c r="K325"/>
      <c r="N325" t="str">
        <f>IFERROR(INDEX('Hoja 1 - Supabase Transcripts'!$A:$DN,MATCH(A325,'Hoja 1 - Supabase Transcripts'!$A:$A,0),MATCH("gap_segmentation_"&amp;E325,'Hoja 1 - Supabase Transcripts'!$2:$2,0)),"not found")</f>
        <v>not found</v>
      </c>
    </row>
    <row r="326" spans="1:14" ht="409.5" customHeight="1">
      <c r="A326" t="s">
        <v>207</v>
      </c>
      <c r="B326">
        <v>1</v>
      </c>
      <c r="C326" t="s">
        <v>1276</v>
      </c>
      <c r="D326" t="s">
        <v>1313</v>
      </c>
      <c r="E326" t="s">
        <v>261</v>
      </c>
      <c r="F326" t="s">
        <v>1314</v>
      </c>
      <c r="G326" t="s">
        <v>1315</v>
      </c>
      <c r="H326">
        <v>0.9</v>
      </c>
      <c r="I326" t="s">
        <v>264</v>
      </c>
      <c r="J326" t="str">
        <f t="shared" si="5"/>
        <v>Concern content - FAMILY A</v>
      </c>
      <c r="K326"/>
      <c r="N326" t="str">
        <f>IFERROR(INDEX('Hoja 1 - Supabase Transcripts'!$A:$DN,MATCH(A326,'Hoja 1 - Supabase Transcripts'!$A:$A,0),MATCH("gap_segmentation_"&amp;E326,'Hoja 1 - Supabase Transcripts'!$2:$2,0)),"not found")</f>
        <v>not found</v>
      </c>
    </row>
    <row r="327" spans="1:14" ht="409.5" customHeight="1">
      <c r="A327" t="s">
        <v>207</v>
      </c>
      <c r="B327">
        <v>1</v>
      </c>
      <c r="C327" t="s">
        <v>1276</v>
      </c>
      <c r="D327" t="s">
        <v>1316</v>
      </c>
      <c r="E327" t="s">
        <v>261</v>
      </c>
      <c r="F327" t="s">
        <v>1317</v>
      </c>
      <c r="G327" t="s">
        <v>1318</v>
      </c>
      <c r="H327">
        <v>0.95</v>
      </c>
      <c r="I327" t="s">
        <v>264</v>
      </c>
      <c r="J327" t="str">
        <f t="shared" si="5"/>
        <v>Concern content - FAMILY A</v>
      </c>
      <c r="K327"/>
      <c r="N327" t="str">
        <f>IFERROR(INDEX('Hoja 1 - Supabase Transcripts'!$A:$DN,MATCH(A327,'Hoja 1 - Supabase Transcripts'!$A:$A,0),MATCH("gap_segmentation_"&amp;E327,'Hoja 1 - Supabase Transcripts'!$2:$2,0)),"not found")</f>
        <v>not found</v>
      </c>
    </row>
    <row r="328" spans="1:14" ht="409.5" customHeight="1">
      <c r="A328" t="s">
        <v>207</v>
      </c>
      <c r="B328">
        <v>1</v>
      </c>
      <c r="C328" t="s">
        <v>1276</v>
      </c>
      <c r="D328" t="s">
        <v>1319</v>
      </c>
      <c r="E328" t="s">
        <v>261</v>
      </c>
      <c r="F328" t="s">
        <v>1320</v>
      </c>
      <c r="G328" t="s">
        <v>1321</v>
      </c>
      <c r="H328">
        <v>0.95</v>
      </c>
      <c r="I328" t="s">
        <v>264</v>
      </c>
      <c r="J328" t="str">
        <f t="shared" si="5"/>
        <v>Concern content - FAMILY A</v>
      </c>
      <c r="K328"/>
      <c r="N328" t="str">
        <f>IFERROR(INDEX('Hoja 1 - Supabase Transcripts'!$A:$DN,MATCH(A328,'Hoja 1 - Supabase Transcripts'!$A:$A,0),MATCH("gap_segmentation_"&amp;E328,'Hoja 1 - Supabase Transcripts'!$2:$2,0)),"not found")</f>
        <v>not found</v>
      </c>
    </row>
    <row r="329" spans="1:14" ht="409.5" customHeight="1">
      <c r="A329" t="s">
        <v>207</v>
      </c>
      <c r="B329">
        <v>1</v>
      </c>
      <c r="C329" t="s">
        <v>1276</v>
      </c>
      <c r="D329" t="s">
        <v>1322</v>
      </c>
      <c r="E329" t="s">
        <v>261</v>
      </c>
      <c r="F329" t="s">
        <v>1323</v>
      </c>
      <c r="G329" t="s">
        <v>1324</v>
      </c>
      <c r="H329">
        <v>0.95</v>
      </c>
      <c r="I329" t="s">
        <v>264</v>
      </c>
      <c r="J329" t="str">
        <f t="shared" si="5"/>
        <v>Concern content - FAMILY A</v>
      </c>
      <c r="K329"/>
      <c r="N329" t="str">
        <f>IFERROR(INDEX('Hoja 1 - Supabase Transcripts'!$A:$DN,MATCH(A329,'Hoja 1 - Supabase Transcripts'!$A:$A,0),MATCH("gap_segmentation_"&amp;E329,'Hoja 1 - Supabase Transcripts'!$2:$2,0)),"not found")</f>
        <v>not found</v>
      </c>
    </row>
    <row r="330" spans="1:14" ht="409.5" customHeight="1">
      <c r="A330" t="s">
        <v>207</v>
      </c>
      <c r="B330">
        <v>1</v>
      </c>
      <c r="C330" t="s">
        <v>1276</v>
      </c>
      <c r="D330" t="s">
        <v>1325</v>
      </c>
      <c r="E330" t="s">
        <v>261</v>
      </c>
      <c r="F330" t="s">
        <v>1326</v>
      </c>
      <c r="G330" t="s">
        <v>1327</v>
      </c>
      <c r="H330">
        <v>0.95</v>
      </c>
      <c r="I330" t="s">
        <v>264</v>
      </c>
      <c r="J330" t="str">
        <f t="shared" si="5"/>
        <v>Concern content - FAMILY A</v>
      </c>
      <c r="K330"/>
      <c r="N330" t="str">
        <f>IFERROR(INDEX('Hoja 1 - Supabase Transcripts'!$A:$DN,MATCH(A330,'Hoja 1 - Supabase Transcripts'!$A:$A,0),MATCH("gap_segmentation_"&amp;E330,'Hoja 1 - Supabase Transcripts'!$2:$2,0)),"not found")</f>
        <v>not found</v>
      </c>
    </row>
    <row r="331" spans="1:14" ht="409.5" customHeight="1">
      <c r="A331" t="s">
        <v>204</v>
      </c>
      <c r="B331">
        <v>1</v>
      </c>
      <c r="C331" t="s">
        <v>1328</v>
      </c>
      <c r="D331" t="s">
        <v>1329</v>
      </c>
      <c r="E331" t="s">
        <v>313</v>
      </c>
      <c r="F331" t="s">
        <v>1330</v>
      </c>
      <c r="G331" t="s">
        <v>1331</v>
      </c>
      <c r="H331">
        <v>0.85</v>
      </c>
      <c r="I331" t="s">
        <v>281</v>
      </c>
      <c r="J331" t="str">
        <f t="shared" si="5"/>
        <v>Aspirational framing of unmet needs</v>
      </c>
      <c r="K331" t="e">
        <f>_xlfn.XLOOKUP(J331,#REF!,#REF!,"0",0,1)</f>
        <v>#REF!</v>
      </c>
      <c r="N331" t="str">
        <f>IFERROR(INDEX('Hoja 1 - Supabase Transcripts'!$A:$DN,MATCH(A331,'Hoja 1 - Supabase Transcripts'!$A:$A,0),MATCH("gap_segmentation_"&amp;E331,'Hoja 1 - Supabase Transcripts'!$2:$2,0)),"not found")</f>
        <v>not found</v>
      </c>
    </row>
    <row r="332" spans="1:14" ht="409.5" customHeight="1">
      <c r="A332" t="s">
        <v>204</v>
      </c>
      <c r="B332">
        <v>1</v>
      </c>
      <c r="C332" t="s">
        <v>1328</v>
      </c>
      <c r="D332" t="s">
        <v>1332</v>
      </c>
      <c r="E332" t="s">
        <v>313</v>
      </c>
      <c r="F332" t="s">
        <v>1333</v>
      </c>
      <c r="G332" t="s">
        <v>1334</v>
      </c>
      <c r="H332">
        <v>0.9</v>
      </c>
      <c r="I332" t="s">
        <v>264</v>
      </c>
      <c r="J332" t="str">
        <f t="shared" si="5"/>
        <v>Concern content - FAMILY A</v>
      </c>
      <c r="K332"/>
      <c r="N332" t="str">
        <f>IFERROR(INDEX('Hoja 1 - Supabase Transcripts'!$A:$DN,MATCH(A332,'Hoja 1 - Supabase Transcripts'!$A:$A,0),MATCH("gap_segmentation_"&amp;E332,'Hoja 1 - Supabase Transcripts'!$2:$2,0)),"not found")</f>
        <v>not found</v>
      </c>
    </row>
    <row r="333" spans="1:14" ht="409.5" customHeight="1">
      <c r="A333" t="s">
        <v>204</v>
      </c>
      <c r="B333">
        <v>1</v>
      </c>
      <c r="C333" t="s">
        <v>1328</v>
      </c>
      <c r="D333" t="s">
        <v>1335</v>
      </c>
      <c r="E333" t="s">
        <v>313</v>
      </c>
      <c r="F333" t="s">
        <v>1336</v>
      </c>
      <c r="G333" t="s">
        <v>1337</v>
      </c>
      <c r="H333">
        <v>0.9</v>
      </c>
      <c r="I333" t="s">
        <v>310</v>
      </c>
      <c r="J333" t="str">
        <f t="shared" si="5"/>
        <v>Hedged, qualified disclosure</v>
      </c>
      <c r="K333" t="e">
        <f>_xlfn.XLOOKUP(J333,#REF!,#REF!,"0",0,1)</f>
        <v>#REF!</v>
      </c>
      <c r="N333" t="str">
        <f>IFERROR(INDEX('Hoja 1 - Supabase Transcripts'!$A:$DN,MATCH(A333,'Hoja 1 - Supabase Transcripts'!$A:$A,0),MATCH("gap_segmentation_"&amp;E333,'Hoja 1 - Supabase Transcripts'!$2:$2,0)),"not found")</f>
        <v>not found</v>
      </c>
    </row>
    <row r="334" spans="1:14" ht="409.5" customHeight="1">
      <c r="A334" t="s">
        <v>204</v>
      </c>
      <c r="B334">
        <v>1</v>
      </c>
      <c r="C334" t="s">
        <v>1328</v>
      </c>
      <c r="D334" t="s">
        <v>1338</v>
      </c>
      <c r="E334" s="19" t="s">
        <v>256</v>
      </c>
      <c r="F334" t="s">
        <v>1339</v>
      </c>
      <c r="G334" t="s">
        <v>1340</v>
      </c>
      <c r="H334">
        <v>0.85</v>
      </c>
      <c r="I334" t="s">
        <v>285</v>
      </c>
      <c r="J334" t="str">
        <f t="shared" si="5"/>
        <v>Anticipated futility of voice</v>
      </c>
      <c r="K334" t="e">
        <f>_xlfn.XLOOKUP(J334,#REF!,#REF!,"0",0,1)</f>
        <v>#REF!</v>
      </c>
      <c r="N334" t="str">
        <f>IFERROR(INDEX('Hoja 1 - Supabase Transcripts'!$A:$DN,MATCH(A334,'Hoja 1 - Supabase Transcripts'!$A:$A,0),MATCH("gap_segmentation_"&amp;E334,'Hoja 1 - Supabase Transcripts'!$2:$2,0)),"not found")</f>
        <v>not found</v>
      </c>
    </row>
    <row r="335" spans="1:14" ht="409.5" customHeight="1">
      <c r="A335" t="s">
        <v>204</v>
      </c>
      <c r="B335">
        <v>1</v>
      </c>
      <c r="C335" t="s">
        <v>1328</v>
      </c>
      <c r="D335" t="s">
        <v>1341</v>
      </c>
      <c r="E335" s="19" t="s">
        <v>256</v>
      </c>
      <c r="F335" t="s">
        <v>1342</v>
      </c>
      <c r="G335" t="s">
        <v>1343</v>
      </c>
      <c r="H335">
        <v>0.95</v>
      </c>
      <c r="I335" t="s">
        <v>281</v>
      </c>
      <c r="J335" t="str">
        <f t="shared" si="5"/>
        <v>Aspirational framing of unmet needs</v>
      </c>
      <c r="K335" t="e">
        <f>_xlfn.XLOOKUP(J335,#REF!,#REF!,"0",0,1)</f>
        <v>#REF!</v>
      </c>
      <c r="N335" t="str">
        <f>IFERROR(INDEX('Hoja 1 - Supabase Transcripts'!$A:$DN,MATCH(A335,'Hoja 1 - Supabase Transcripts'!$A:$A,0),MATCH("gap_segmentation_"&amp;E335,'Hoja 1 - Supabase Transcripts'!$2:$2,0)),"not found")</f>
        <v>not found</v>
      </c>
    </row>
    <row r="336" spans="1:14" ht="409.5" customHeight="1">
      <c r="A336" t="s">
        <v>204</v>
      </c>
      <c r="B336">
        <v>1</v>
      </c>
      <c r="C336" t="s">
        <v>1328</v>
      </c>
      <c r="D336" t="s">
        <v>1344</v>
      </c>
      <c r="E336" s="19" t="s">
        <v>256</v>
      </c>
      <c r="F336" t="s">
        <v>1345</v>
      </c>
      <c r="G336" t="s">
        <v>1346</v>
      </c>
      <c r="H336">
        <v>0.9</v>
      </c>
      <c r="I336" t="s">
        <v>259</v>
      </c>
      <c r="J336" t="str">
        <f t="shared" si="5"/>
        <v>Rationalizing leadership absence</v>
      </c>
      <c r="K336" t="e">
        <f>_xlfn.XLOOKUP(J336,#REF!,#REF!,"0",0,1)</f>
        <v>#REF!</v>
      </c>
      <c r="N336" t="str">
        <f>IFERROR(INDEX('Hoja 1 - Supabase Transcripts'!$A:$DN,MATCH(A336,'Hoja 1 - Supabase Transcripts'!$A:$A,0),MATCH("gap_segmentation_"&amp;E336,'Hoja 1 - Supabase Transcripts'!$2:$2,0)),"not found")</f>
        <v>not found</v>
      </c>
    </row>
    <row r="337" spans="1:14" ht="409.5" customHeight="1">
      <c r="A337" t="s">
        <v>204</v>
      </c>
      <c r="B337">
        <v>1</v>
      </c>
      <c r="C337" t="s">
        <v>1328</v>
      </c>
      <c r="D337" t="s">
        <v>1347</v>
      </c>
      <c r="E337" t="s">
        <v>261</v>
      </c>
      <c r="F337" t="s">
        <v>1348</v>
      </c>
      <c r="G337" t="s">
        <v>1349</v>
      </c>
      <c r="H337">
        <v>0.9</v>
      </c>
      <c r="I337" t="s">
        <v>293</v>
      </c>
      <c r="J337" t="str">
        <f t="shared" si="5"/>
        <v>Protective attribution shifting</v>
      </c>
      <c r="K337" t="e">
        <f>_xlfn.XLOOKUP(J337,#REF!,#REF!,"0",0,1)</f>
        <v>#REF!</v>
      </c>
      <c r="N337" t="str">
        <f>IFERROR(INDEX('Hoja 1 - Supabase Transcripts'!$A:$DN,MATCH(A337,'Hoja 1 - Supabase Transcripts'!$A:$A,0),MATCH("gap_segmentation_"&amp;E337,'Hoja 1 - Supabase Transcripts'!$2:$2,0)),"not found")</f>
        <v>not found</v>
      </c>
    </row>
    <row r="338" spans="1:14" ht="409.5" customHeight="1">
      <c r="A338" t="s">
        <v>204</v>
      </c>
      <c r="B338">
        <v>1</v>
      </c>
      <c r="C338" t="s">
        <v>1328</v>
      </c>
      <c r="D338" t="s">
        <v>1350</v>
      </c>
      <c r="E338" t="s">
        <v>261</v>
      </c>
      <c r="F338" t="s">
        <v>1351</v>
      </c>
      <c r="G338" t="s">
        <v>1352</v>
      </c>
      <c r="H338">
        <v>0.95</v>
      </c>
      <c r="I338" t="s">
        <v>264</v>
      </c>
      <c r="J338" t="str">
        <f t="shared" si="5"/>
        <v>Concern content - FAMILY A</v>
      </c>
      <c r="K338"/>
      <c r="N338" t="str">
        <f>IFERROR(INDEX('Hoja 1 - Supabase Transcripts'!$A:$DN,MATCH(A338,'Hoja 1 - Supabase Transcripts'!$A:$A,0),MATCH("gap_segmentation_"&amp;E338,'Hoja 1 - Supabase Transcripts'!$2:$2,0)),"not found")</f>
        <v>not found</v>
      </c>
    </row>
    <row r="339" spans="1:14" ht="409.5" customHeight="1">
      <c r="A339" t="s">
        <v>204</v>
      </c>
      <c r="B339">
        <v>1</v>
      </c>
      <c r="C339" t="s">
        <v>1328</v>
      </c>
      <c r="D339" t="s">
        <v>1353</v>
      </c>
      <c r="E339" t="s">
        <v>261</v>
      </c>
      <c r="F339" t="s">
        <v>1354</v>
      </c>
      <c r="G339" t="s">
        <v>1355</v>
      </c>
      <c r="H339">
        <v>0.9</v>
      </c>
      <c r="I339" t="s">
        <v>274</v>
      </c>
      <c r="J339" t="str">
        <f t="shared" si="5"/>
        <v>FAMILY_A_CONCERN_CONTENT</v>
      </c>
      <c r="K339"/>
      <c r="N339" t="str">
        <f>IFERROR(INDEX('Hoja 1 - Supabase Transcripts'!$A:$DN,MATCH(A339,'Hoja 1 - Supabase Transcripts'!$A:$A,0),MATCH("gap_segmentation_"&amp;E339,'Hoja 1 - Supabase Transcripts'!$2:$2,0)),"not found")</f>
        <v>not found</v>
      </c>
    </row>
    <row r="340" spans="1:14" ht="409.5" customHeight="1">
      <c r="A340" t="s">
        <v>204</v>
      </c>
      <c r="B340">
        <v>1</v>
      </c>
      <c r="C340" t="s">
        <v>1328</v>
      </c>
      <c r="D340" t="s">
        <v>1356</v>
      </c>
      <c r="E340" t="s">
        <v>261</v>
      </c>
      <c r="F340" t="s">
        <v>1357</v>
      </c>
      <c r="G340" t="s">
        <v>1358</v>
      </c>
      <c r="H340">
        <v>0.95</v>
      </c>
      <c r="I340" t="s">
        <v>264</v>
      </c>
      <c r="J340" t="str">
        <f t="shared" si="5"/>
        <v>Concern content - FAMILY A</v>
      </c>
      <c r="K340"/>
      <c r="N340" t="str">
        <f>IFERROR(INDEX('Hoja 1 - Supabase Transcripts'!$A:$DN,MATCH(A340,'Hoja 1 - Supabase Transcripts'!$A:$A,0),MATCH("gap_segmentation_"&amp;E340,'Hoja 1 - Supabase Transcripts'!$2:$2,0)),"not found")</f>
        <v>not found</v>
      </c>
    </row>
    <row r="341" spans="1:14" ht="409.5" customHeight="1">
      <c r="A341" t="s">
        <v>204</v>
      </c>
      <c r="B341">
        <v>1</v>
      </c>
      <c r="C341" t="s">
        <v>1328</v>
      </c>
      <c r="D341" t="s">
        <v>1359</v>
      </c>
      <c r="E341" t="s">
        <v>261</v>
      </c>
      <c r="F341" t="s">
        <v>1360</v>
      </c>
      <c r="G341" t="s">
        <v>1361</v>
      </c>
      <c r="H341">
        <v>1</v>
      </c>
      <c r="I341" t="s">
        <v>264</v>
      </c>
      <c r="J341" t="str">
        <f t="shared" si="5"/>
        <v>Concern content - FAMILY A</v>
      </c>
      <c r="K341"/>
      <c r="N341" t="str">
        <f>IFERROR(INDEX('Hoja 1 - Supabase Transcripts'!$A:$DN,MATCH(A341,'Hoja 1 - Supabase Transcripts'!$A:$A,0),MATCH("gap_segmentation_"&amp;E341,'Hoja 1 - Supabase Transcripts'!$2:$2,0)),"not found")</f>
        <v>not found</v>
      </c>
    </row>
    <row r="342" spans="1:14" ht="409.5" customHeight="1">
      <c r="A342" t="s">
        <v>204</v>
      </c>
      <c r="B342">
        <v>1</v>
      </c>
      <c r="C342" t="s">
        <v>1328</v>
      </c>
      <c r="D342" t="s">
        <v>1362</v>
      </c>
      <c r="E342" t="s">
        <v>261</v>
      </c>
      <c r="F342" t="s">
        <v>1363</v>
      </c>
      <c r="G342" t="s">
        <v>1364</v>
      </c>
      <c r="H342">
        <v>0.95</v>
      </c>
      <c r="I342" t="s">
        <v>281</v>
      </c>
      <c r="J342" t="str">
        <f t="shared" si="5"/>
        <v>Aspirational framing of unmet needs</v>
      </c>
      <c r="K342" t="e">
        <f>_xlfn.XLOOKUP(J342,#REF!,#REF!,"0",0,1)</f>
        <v>#REF!</v>
      </c>
      <c r="N342" t="str">
        <f>IFERROR(INDEX('Hoja 1 - Supabase Transcripts'!$A:$DN,MATCH(A342,'Hoja 1 - Supabase Transcripts'!$A:$A,0),MATCH("gap_segmentation_"&amp;E342,'Hoja 1 - Supabase Transcripts'!$2:$2,0)),"not found")</f>
        <v>not found</v>
      </c>
    </row>
    <row r="343" spans="1:14" ht="409.5" customHeight="1">
      <c r="A343" t="s">
        <v>204</v>
      </c>
      <c r="B343">
        <v>1</v>
      </c>
      <c r="C343" t="s">
        <v>1328</v>
      </c>
      <c r="D343" t="s">
        <v>1365</v>
      </c>
      <c r="E343" t="s">
        <v>266</v>
      </c>
      <c r="F343" t="s">
        <v>1366</v>
      </c>
      <c r="G343" t="s">
        <v>1367</v>
      </c>
      <c r="H343">
        <v>1</v>
      </c>
      <c r="I343" t="s">
        <v>264</v>
      </c>
      <c r="J343" t="str">
        <f t="shared" si="5"/>
        <v>Concern content - FAMILY A</v>
      </c>
      <c r="K343"/>
      <c r="N343" t="str">
        <f>IFERROR(INDEX('Hoja 1 - Supabase Transcripts'!$A:$DN,MATCH(A343,'Hoja 1 - Supabase Transcripts'!$A:$A,0),MATCH("gap_segmentation_"&amp;E343,'Hoja 1 - Supabase Transcripts'!$2:$2,0)),"not found")</f>
        <v>not found</v>
      </c>
    </row>
    <row r="344" spans="1:14" ht="409.5" customHeight="1">
      <c r="A344" t="s">
        <v>204</v>
      </c>
      <c r="B344">
        <v>1</v>
      </c>
      <c r="C344" t="s">
        <v>1328</v>
      </c>
      <c r="D344" t="s">
        <v>1368</v>
      </c>
      <c r="E344" s="16" t="s">
        <v>266</v>
      </c>
      <c r="F344" t="s">
        <v>1369</v>
      </c>
      <c r="G344" t="s">
        <v>1370</v>
      </c>
      <c r="H344">
        <v>0.85</v>
      </c>
      <c r="I344" t="s">
        <v>326</v>
      </c>
      <c r="J344" t="str">
        <f t="shared" si="5"/>
        <v>Hedged, qualified disclosure</v>
      </c>
      <c r="K344" t="e">
        <f>_xlfn.XLOOKUP(J344,#REF!,#REF!,"0",0,1)</f>
        <v>#REF!</v>
      </c>
      <c r="N344" t="str">
        <f>IFERROR(INDEX('Hoja 1 - Supabase Transcripts'!$A:$DN,MATCH(A344,'Hoja 1 - Supabase Transcripts'!$A:$A,0),MATCH("gap_segmentation_"&amp;E344,'Hoja 1 - Supabase Transcripts'!$2:$2,0)),"not found")</f>
        <v>not found</v>
      </c>
    </row>
    <row r="345" spans="1:14" ht="409.5" customHeight="1">
      <c r="A345" t="s">
        <v>204</v>
      </c>
      <c r="B345">
        <v>1</v>
      </c>
      <c r="C345" t="s">
        <v>1328</v>
      </c>
      <c r="D345" t="s">
        <v>1371</v>
      </c>
      <c r="E345" t="s">
        <v>266</v>
      </c>
      <c r="F345" t="s">
        <v>1372</v>
      </c>
      <c r="G345" t="s">
        <v>1373</v>
      </c>
      <c r="H345">
        <v>0.9</v>
      </c>
      <c r="I345" t="s">
        <v>264</v>
      </c>
      <c r="J345" t="str">
        <f t="shared" si="5"/>
        <v>Concern content - FAMILY A</v>
      </c>
      <c r="K345"/>
      <c r="N345" t="str">
        <f>IFERROR(INDEX('Hoja 1 - Supabase Transcripts'!$A:$DN,MATCH(A345,'Hoja 1 - Supabase Transcripts'!$A:$A,0),MATCH("gap_segmentation_"&amp;E345,'Hoja 1 - Supabase Transcripts'!$2:$2,0)),"not found")</f>
        <v>not found</v>
      </c>
    </row>
    <row r="346" spans="1:14" ht="409.5" customHeight="1">
      <c r="A346" t="s">
        <v>200</v>
      </c>
      <c r="B346">
        <v>1</v>
      </c>
      <c r="C346" t="s">
        <v>1374</v>
      </c>
      <c r="D346" t="s">
        <v>1375</v>
      </c>
      <c r="E346" t="s">
        <v>429</v>
      </c>
      <c r="F346" t="s">
        <v>1376</v>
      </c>
      <c r="G346" t="s">
        <v>1377</v>
      </c>
      <c r="H346">
        <v>0.82</v>
      </c>
      <c r="I346" t="s">
        <v>264</v>
      </c>
      <c r="J346" t="str">
        <f t="shared" si="5"/>
        <v>Concern content - FAMILY A</v>
      </c>
      <c r="K346"/>
      <c r="N346" t="str">
        <f>IFERROR(INDEX('Hoja 1 - Supabase Transcripts'!$A:$DN,MATCH(A346,'Hoja 1 - Supabase Transcripts'!$A:$A,0),MATCH("gap_segmentation_"&amp;E346,'Hoja 1 - Supabase Transcripts'!$2:$2,0)),"not found")</f>
        <v>not found</v>
      </c>
    </row>
    <row r="347" spans="1:14" ht="409.5" customHeight="1">
      <c r="A347" t="s">
        <v>200</v>
      </c>
      <c r="B347">
        <v>1</v>
      </c>
      <c r="C347" t="s">
        <v>1374</v>
      </c>
      <c r="D347" t="s">
        <v>1378</v>
      </c>
      <c r="E347" t="s">
        <v>429</v>
      </c>
      <c r="F347" t="s">
        <v>1379</v>
      </c>
      <c r="G347" t="s">
        <v>1380</v>
      </c>
      <c r="H347">
        <v>0.88</v>
      </c>
      <c r="I347" t="s">
        <v>264</v>
      </c>
      <c r="J347" t="str">
        <f t="shared" si="5"/>
        <v>Concern content - FAMILY A</v>
      </c>
      <c r="K347"/>
      <c r="N347" t="str">
        <f>IFERROR(INDEX('Hoja 1 - Supabase Transcripts'!$A:$DN,MATCH(A347,'Hoja 1 - Supabase Transcripts'!$A:$A,0),MATCH("gap_segmentation_"&amp;E347,'Hoja 1 - Supabase Transcripts'!$2:$2,0)),"not found")</f>
        <v>not found</v>
      </c>
    </row>
    <row r="348" spans="1:14" ht="409.5" customHeight="1">
      <c r="A348" t="s">
        <v>200</v>
      </c>
      <c r="B348">
        <v>1</v>
      </c>
      <c r="C348" t="s">
        <v>1374</v>
      </c>
      <c r="D348" t="s">
        <v>1381</v>
      </c>
      <c r="E348" t="s">
        <v>256</v>
      </c>
      <c r="F348" t="s">
        <v>1382</v>
      </c>
      <c r="G348" t="s">
        <v>1383</v>
      </c>
      <c r="H348">
        <v>0.9</v>
      </c>
      <c r="I348" t="s">
        <v>264</v>
      </c>
      <c r="J348" t="str">
        <f t="shared" si="5"/>
        <v>Concern content - FAMILY A</v>
      </c>
      <c r="K348"/>
      <c r="N348" t="str">
        <f>IFERROR(INDEX('Hoja 1 - Supabase Transcripts'!$A:$DN,MATCH(A348,'Hoja 1 - Supabase Transcripts'!$A:$A,0),MATCH("gap_segmentation_"&amp;E348,'Hoja 1 - Supabase Transcripts'!$2:$2,0)),"not found")</f>
        <v>not found</v>
      </c>
    </row>
    <row r="349" spans="1:14" ht="409.5" customHeight="1">
      <c r="A349" t="s">
        <v>200</v>
      </c>
      <c r="B349">
        <v>1</v>
      </c>
      <c r="C349" t="s">
        <v>1374</v>
      </c>
      <c r="D349" t="s">
        <v>1384</v>
      </c>
      <c r="E349" t="s">
        <v>266</v>
      </c>
      <c r="F349" t="s">
        <v>1385</v>
      </c>
      <c r="G349" t="s">
        <v>1386</v>
      </c>
      <c r="H349">
        <v>0.85</v>
      </c>
      <c r="I349" t="s">
        <v>264</v>
      </c>
      <c r="J349" t="str">
        <f t="shared" si="5"/>
        <v>Concern content - FAMILY A</v>
      </c>
      <c r="K349"/>
      <c r="N349" t="str">
        <f>IFERROR(INDEX('Hoja 1 - Supabase Transcripts'!$A:$DN,MATCH(A349,'Hoja 1 - Supabase Transcripts'!$A:$A,0),MATCH("gap_segmentation_"&amp;E349,'Hoja 1 - Supabase Transcripts'!$2:$2,0)),"not found")</f>
        <v>not found</v>
      </c>
    </row>
    <row r="350" spans="1:14" ht="409.5" customHeight="1">
      <c r="A350" t="s">
        <v>224</v>
      </c>
      <c r="B350">
        <v>3</v>
      </c>
      <c r="C350" t="s">
        <v>1387</v>
      </c>
      <c r="D350" t="s">
        <v>1388</v>
      </c>
      <c r="E350" t="s">
        <v>313</v>
      </c>
      <c r="F350" t="s">
        <v>1389</v>
      </c>
      <c r="G350" t="s">
        <v>1390</v>
      </c>
      <c r="H350">
        <v>0.82</v>
      </c>
      <c r="I350" t="s">
        <v>326</v>
      </c>
      <c r="J350" t="str">
        <f t="shared" si="5"/>
        <v>Hedged, qualified disclosure</v>
      </c>
      <c r="K350" t="e">
        <f>_xlfn.XLOOKUP(J350,#REF!,#REF!,"0",0,1)</f>
        <v>#REF!</v>
      </c>
      <c r="N350" t="str">
        <f>IFERROR(INDEX('Hoja 1 - Supabase Transcripts'!$A:$DN,MATCH(A350,'Hoja 1 - Supabase Transcripts'!$A:$A,0),MATCH("gap_segmentation_"&amp;E350,'Hoja 1 - Supabase Transcripts'!$2:$2,0)),"not found")</f>
        <v>not found</v>
      </c>
    </row>
    <row r="351" spans="1:14" ht="409.5" customHeight="1">
      <c r="A351" t="s">
        <v>224</v>
      </c>
      <c r="B351">
        <v>3</v>
      </c>
      <c r="C351" t="s">
        <v>1387</v>
      </c>
      <c r="D351" t="s">
        <v>1391</v>
      </c>
      <c r="E351" t="s">
        <v>313</v>
      </c>
      <c r="F351" t="s">
        <v>1392</v>
      </c>
      <c r="G351" t="s">
        <v>1393</v>
      </c>
      <c r="H351">
        <v>0.9</v>
      </c>
      <c r="I351" t="s">
        <v>293</v>
      </c>
      <c r="J351" t="str">
        <f t="shared" si="5"/>
        <v>Protective attribution shifting</v>
      </c>
      <c r="K351" t="e">
        <f>_xlfn.XLOOKUP(J351,#REF!,#REF!,"0",0,1)</f>
        <v>#REF!</v>
      </c>
      <c r="N351" t="str">
        <f>IFERROR(INDEX('Hoja 1 - Supabase Transcripts'!$A:$DN,MATCH(A351,'Hoja 1 - Supabase Transcripts'!$A:$A,0),MATCH("gap_segmentation_"&amp;E351,'Hoja 1 - Supabase Transcripts'!$2:$2,0)),"not found")</f>
        <v>not found</v>
      </c>
    </row>
    <row r="352" spans="1:14" ht="409.5" customHeight="1">
      <c r="A352" t="s">
        <v>224</v>
      </c>
      <c r="B352">
        <v>3</v>
      </c>
      <c r="C352" t="s">
        <v>1387</v>
      </c>
      <c r="D352" t="s">
        <v>1394</v>
      </c>
      <c r="E352" t="s">
        <v>429</v>
      </c>
      <c r="F352" t="s">
        <v>1395</v>
      </c>
      <c r="G352" t="s">
        <v>1396</v>
      </c>
      <c r="H352">
        <v>0.95</v>
      </c>
      <c r="I352" t="s">
        <v>274</v>
      </c>
      <c r="J352" t="str">
        <f t="shared" si="5"/>
        <v>FAMILY_A_CONCERN_CONTENT</v>
      </c>
      <c r="K352"/>
      <c r="N352" t="str">
        <f>IFERROR(INDEX('Hoja 1 - Supabase Transcripts'!$A:$DN,MATCH(A352,'Hoja 1 - Supabase Transcripts'!$A:$A,0),MATCH("gap_segmentation_"&amp;E352,'Hoja 1 - Supabase Transcripts'!$2:$2,0)),"not found")</f>
        <v>not found</v>
      </c>
    </row>
    <row r="353" spans="1:14" ht="409.5" customHeight="1">
      <c r="A353" t="s">
        <v>224</v>
      </c>
      <c r="B353">
        <v>3</v>
      </c>
      <c r="C353" t="s">
        <v>1387</v>
      </c>
      <c r="D353" t="s">
        <v>1397</v>
      </c>
      <c r="E353" s="19" t="s">
        <v>256</v>
      </c>
      <c r="F353" t="s">
        <v>1398</v>
      </c>
      <c r="G353" t="s">
        <v>1399</v>
      </c>
      <c r="H353">
        <v>0.93</v>
      </c>
      <c r="I353" t="s">
        <v>285</v>
      </c>
      <c r="J353" t="str">
        <f t="shared" si="5"/>
        <v>Anticipated futility of voice</v>
      </c>
      <c r="K353" t="e">
        <f>_xlfn.XLOOKUP(J353,#REF!,#REF!,"0",0,1)</f>
        <v>#REF!</v>
      </c>
      <c r="N353" t="str">
        <f>IFERROR(INDEX('Hoja 1 - Supabase Transcripts'!$A:$DN,MATCH(A353,'Hoja 1 - Supabase Transcripts'!$A:$A,0),MATCH("gap_segmentation_"&amp;E353,'Hoja 1 - Supabase Transcripts'!$2:$2,0)),"not found")</f>
        <v>not found</v>
      </c>
    </row>
    <row r="354" spans="1:14" ht="409.5" customHeight="1">
      <c r="A354" t="s">
        <v>224</v>
      </c>
      <c r="B354">
        <v>3</v>
      </c>
      <c r="C354" t="s">
        <v>1387</v>
      </c>
      <c r="D354" t="s">
        <v>1400</v>
      </c>
      <c r="E354" s="19" t="s">
        <v>256</v>
      </c>
      <c r="F354" t="s">
        <v>1401</v>
      </c>
      <c r="G354" t="s">
        <v>1402</v>
      </c>
      <c r="H354">
        <v>0.92</v>
      </c>
      <c r="I354" t="s">
        <v>285</v>
      </c>
      <c r="J354" t="str">
        <f t="shared" si="5"/>
        <v>Anticipated futility of voice</v>
      </c>
      <c r="K354" t="e">
        <f>_xlfn.XLOOKUP(J354,#REF!,#REF!,"0",0,1)</f>
        <v>#REF!</v>
      </c>
      <c r="N354" t="str">
        <f>IFERROR(INDEX('Hoja 1 - Supabase Transcripts'!$A:$DN,MATCH(A354,'Hoja 1 - Supabase Transcripts'!$A:$A,0),MATCH("gap_segmentation_"&amp;E354,'Hoja 1 - Supabase Transcripts'!$2:$2,0)),"not found")</f>
        <v>not found</v>
      </c>
    </row>
    <row r="355" spans="1:14" ht="409.5" customHeight="1">
      <c r="A355" t="s">
        <v>224</v>
      </c>
      <c r="B355">
        <v>3</v>
      </c>
      <c r="C355" t="s">
        <v>1387</v>
      </c>
      <c r="D355" t="s">
        <v>1403</v>
      </c>
      <c r="E355" t="s">
        <v>256</v>
      </c>
      <c r="F355" t="s">
        <v>1404</v>
      </c>
      <c r="G355" t="s">
        <v>1405</v>
      </c>
      <c r="H355">
        <v>0.9</v>
      </c>
      <c r="I355" t="s">
        <v>264</v>
      </c>
      <c r="J355" t="str">
        <f t="shared" si="5"/>
        <v>Concern content - FAMILY A</v>
      </c>
      <c r="K355"/>
      <c r="N355" t="str">
        <f>IFERROR(INDEX('Hoja 1 - Supabase Transcripts'!$A:$DN,MATCH(A355,'Hoja 1 - Supabase Transcripts'!$A:$A,0),MATCH("gap_segmentation_"&amp;E355,'Hoja 1 - Supabase Transcripts'!$2:$2,0)),"not found")</f>
        <v>not found</v>
      </c>
    </row>
    <row r="356" spans="1:14" ht="409.5" customHeight="1">
      <c r="A356" t="s">
        <v>224</v>
      </c>
      <c r="B356">
        <v>3</v>
      </c>
      <c r="C356" t="s">
        <v>1387</v>
      </c>
      <c r="D356" t="s">
        <v>1406</v>
      </c>
      <c r="E356" t="s">
        <v>256</v>
      </c>
      <c r="F356" t="s">
        <v>1407</v>
      </c>
      <c r="G356" t="s">
        <v>1408</v>
      </c>
      <c r="H356">
        <v>0.88</v>
      </c>
      <c r="I356" t="s">
        <v>264</v>
      </c>
      <c r="J356" t="str">
        <f t="shared" si="5"/>
        <v>Concern content - FAMILY A</v>
      </c>
      <c r="K356"/>
      <c r="N356" t="str">
        <f>IFERROR(INDEX('Hoja 1 - Supabase Transcripts'!$A:$DN,MATCH(A356,'Hoja 1 - Supabase Transcripts'!$A:$A,0),MATCH("gap_segmentation_"&amp;E356,'Hoja 1 - Supabase Transcripts'!$2:$2,0)),"not found")</f>
        <v>not found</v>
      </c>
    </row>
    <row r="357" spans="1:14" ht="409.5" customHeight="1">
      <c r="A357" t="s">
        <v>224</v>
      </c>
      <c r="B357">
        <v>3</v>
      </c>
      <c r="C357" t="s">
        <v>1387</v>
      </c>
      <c r="D357" t="s">
        <v>1409</v>
      </c>
      <c r="E357" t="s">
        <v>261</v>
      </c>
      <c r="F357" t="s">
        <v>1410</v>
      </c>
      <c r="G357" t="s">
        <v>1411</v>
      </c>
      <c r="H357">
        <v>0.95</v>
      </c>
      <c r="I357" t="s">
        <v>264</v>
      </c>
      <c r="J357" t="str">
        <f t="shared" si="5"/>
        <v>Concern content - FAMILY A</v>
      </c>
      <c r="K357"/>
      <c r="N357" t="str">
        <f>IFERROR(INDEX('Hoja 1 - Supabase Transcripts'!$A:$DN,MATCH(A357,'Hoja 1 - Supabase Transcripts'!$A:$A,0),MATCH("gap_segmentation_"&amp;E357,'Hoja 1 - Supabase Transcripts'!$2:$2,0)),"not found")</f>
        <v>not found</v>
      </c>
    </row>
    <row r="358" spans="1:14" ht="409.5" customHeight="1">
      <c r="A358" t="s">
        <v>224</v>
      </c>
      <c r="B358">
        <v>3</v>
      </c>
      <c r="C358" t="s">
        <v>1387</v>
      </c>
      <c r="D358" t="s">
        <v>1412</v>
      </c>
      <c r="E358" t="s">
        <v>261</v>
      </c>
      <c r="F358" t="s">
        <v>1413</v>
      </c>
      <c r="G358" t="s">
        <v>1414</v>
      </c>
      <c r="H358">
        <v>0.9</v>
      </c>
      <c r="I358" t="s">
        <v>264</v>
      </c>
      <c r="J358" t="str">
        <f t="shared" si="5"/>
        <v>Concern content - FAMILY A</v>
      </c>
      <c r="K358"/>
      <c r="N358" t="str">
        <f>IFERROR(INDEX('Hoja 1 - Supabase Transcripts'!$A:$DN,MATCH(A358,'Hoja 1 - Supabase Transcripts'!$A:$A,0),MATCH("gap_segmentation_"&amp;E358,'Hoja 1 - Supabase Transcripts'!$2:$2,0)),"not found")</f>
        <v>not found</v>
      </c>
    </row>
    <row r="359" spans="1:14" ht="409.5" customHeight="1">
      <c r="A359" t="s">
        <v>224</v>
      </c>
      <c r="B359">
        <v>3</v>
      </c>
      <c r="C359" t="s">
        <v>1387</v>
      </c>
      <c r="D359" t="s">
        <v>1415</v>
      </c>
      <c r="E359" s="16" t="s">
        <v>266</v>
      </c>
      <c r="F359" t="s">
        <v>1416</v>
      </c>
      <c r="G359" t="s">
        <v>1417</v>
      </c>
      <c r="H359">
        <v>0.85</v>
      </c>
      <c r="I359" t="s">
        <v>330</v>
      </c>
      <c r="J359" t="str">
        <f t="shared" si="5"/>
        <v>Protective attribution shifting</v>
      </c>
      <c r="K359" t="e">
        <f>_xlfn.XLOOKUP(J359,#REF!,#REF!,"0",0,1)</f>
        <v>#REF!</v>
      </c>
      <c r="N359" t="str">
        <f>IFERROR(INDEX('Hoja 1 - Supabase Transcripts'!$A:$DN,MATCH(A359,'Hoja 1 - Supabase Transcripts'!$A:$A,0),MATCH("gap_segmentation_"&amp;E359,'Hoja 1 - Supabase Transcripts'!$2:$2,0)),"not found")</f>
        <v>not found</v>
      </c>
    </row>
    <row r="360" spans="1:14" ht="409.5" customHeight="1">
      <c r="A360" t="s">
        <v>224</v>
      </c>
      <c r="B360">
        <v>3</v>
      </c>
      <c r="C360" t="s">
        <v>1387</v>
      </c>
      <c r="D360" t="s">
        <v>1418</v>
      </c>
      <c r="E360" t="s">
        <v>266</v>
      </c>
      <c r="F360" t="s">
        <v>1419</v>
      </c>
      <c r="G360" t="s">
        <v>1420</v>
      </c>
      <c r="H360">
        <v>1</v>
      </c>
      <c r="I360" t="s">
        <v>264</v>
      </c>
      <c r="J360" t="str">
        <f t="shared" si="5"/>
        <v>Concern content - FAMILY A</v>
      </c>
      <c r="K360"/>
      <c r="N360" t="str">
        <f>IFERROR(INDEX('Hoja 1 - Supabase Transcripts'!$A:$DN,MATCH(A360,'Hoja 1 - Supabase Transcripts'!$A:$A,0),MATCH("gap_segmentation_"&amp;E360,'Hoja 1 - Supabase Transcripts'!$2:$2,0)),"not found")</f>
        <v>not found</v>
      </c>
    </row>
    <row r="361" spans="1:14" ht="409.5" customHeight="1">
      <c r="A361" t="s">
        <v>224</v>
      </c>
      <c r="B361">
        <v>3</v>
      </c>
      <c r="C361" t="s">
        <v>1387</v>
      </c>
      <c r="D361" t="s">
        <v>1421</v>
      </c>
      <c r="E361" s="16" t="s">
        <v>266</v>
      </c>
      <c r="F361" t="s">
        <v>1422</v>
      </c>
      <c r="G361" t="s">
        <v>1423</v>
      </c>
      <c r="H361">
        <v>0.88</v>
      </c>
      <c r="I361" t="s">
        <v>285</v>
      </c>
      <c r="J361" t="str">
        <f t="shared" si="5"/>
        <v>Anticipated futility of voice</v>
      </c>
      <c r="K361" t="e">
        <f>_xlfn.XLOOKUP(J361,#REF!,#REF!,"0",0,1)</f>
        <v>#REF!</v>
      </c>
      <c r="N361" t="str">
        <f>IFERROR(INDEX('Hoja 1 - Supabase Transcripts'!$A:$DN,MATCH(A361,'Hoja 1 - Supabase Transcripts'!$A:$A,0),MATCH("gap_segmentation_"&amp;E361,'Hoja 1 - Supabase Transcripts'!$2:$2,0)),"not found")</f>
        <v>not found</v>
      </c>
    </row>
    <row r="362" spans="1:14" ht="409.5" customHeight="1">
      <c r="A362" t="s">
        <v>224</v>
      </c>
      <c r="B362">
        <v>3</v>
      </c>
      <c r="C362" t="s">
        <v>1387</v>
      </c>
      <c r="D362" t="s">
        <v>1424</v>
      </c>
      <c r="E362" t="s">
        <v>266</v>
      </c>
      <c r="F362" t="s">
        <v>1425</v>
      </c>
      <c r="G362" t="s">
        <v>1426</v>
      </c>
      <c r="H362">
        <v>0.95</v>
      </c>
      <c r="I362" t="s">
        <v>264</v>
      </c>
      <c r="J362" t="str">
        <f t="shared" si="5"/>
        <v>Concern content - FAMILY A</v>
      </c>
      <c r="K362"/>
      <c r="N362" t="str">
        <f>IFERROR(INDEX('Hoja 1 - Supabase Transcripts'!$A:$DN,MATCH(A362,'Hoja 1 - Supabase Transcripts'!$A:$A,0),MATCH("gap_segmentation_"&amp;E362,'Hoja 1 - Supabase Transcripts'!$2:$2,0)),"not found")</f>
        <v>not found</v>
      </c>
    </row>
    <row r="363" spans="1:14" ht="409.5" customHeight="1">
      <c r="A363" t="s">
        <v>184</v>
      </c>
      <c r="B363">
        <v>1</v>
      </c>
      <c r="C363" t="s">
        <v>1427</v>
      </c>
      <c r="D363" t="s">
        <v>443</v>
      </c>
      <c r="E363" t="s">
        <v>313</v>
      </c>
      <c r="F363" t="s">
        <v>1428</v>
      </c>
      <c r="G363" t="s">
        <v>1429</v>
      </c>
      <c r="H363">
        <v>0.65</v>
      </c>
      <c r="I363" t="s">
        <v>435</v>
      </c>
      <c r="J363" t="str">
        <f t="shared" si="5"/>
        <v>Disclaiming assessment capacity</v>
      </c>
      <c r="K363" t="e">
        <f>_xlfn.XLOOKUP(J363,#REF!,#REF!,"0",0,1)</f>
        <v>#REF!</v>
      </c>
      <c r="N363" t="str">
        <f>IFERROR(INDEX('Hoja 1 - Supabase Transcripts'!$A:$DN,MATCH(A363,'Hoja 1 - Supabase Transcripts'!$A:$A,0),MATCH("gap_segmentation_"&amp;E363,'Hoja 1 - Supabase Transcripts'!$2:$2,0)),"not found")</f>
        <v>not found</v>
      </c>
    </row>
    <row r="364" spans="1:14" ht="409.5" customHeight="1">
      <c r="A364" t="s">
        <v>184</v>
      </c>
      <c r="B364">
        <v>1</v>
      </c>
      <c r="C364" t="s">
        <v>1427</v>
      </c>
      <c r="D364" t="s">
        <v>443</v>
      </c>
      <c r="E364" t="s">
        <v>261</v>
      </c>
      <c r="F364" t="s">
        <v>1430</v>
      </c>
      <c r="G364" t="s">
        <v>1431</v>
      </c>
      <c r="H364">
        <v>0.68</v>
      </c>
      <c r="I364" t="s">
        <v>415</v>
      </c>
      <c r="J364" t="str">
        <f t="shared" si="5"/>
        <v>Withholding under probing</v>
      </c>
      <c r="K364" t="e">
        <f>_xlfn.XLOOKUP(J364,#REF!,#REF!,"0",0,1)</f>
        <v>#REF!</v>
      </c>
      <c r="N364" t="str">
        <f>IFERROR(INDEX('Hoja 1 - Supabase Transcripts'!$A:$DN,MATCH(A364,'Hoja 1 - Supabase Transcripts'!$A:$A,0),MATCH("gap_segmentation_"&amp;E364,'Hoja 1 - Supabase Transcripts'!$2:$2,0)),"not found")</f>
        <v>not found</v>
      </c>
    </row>
    <row r="365" spans="1:14" ht="409.5" customHeight="1">
      <c r="A365" t="s">
        <v>184</v>
      </c>
      <c r="B365">
        <v>1</v>
      </c>
      <c r="C365" t="s">
        <v>1427</v>
      </c>
      <c r="D365" t="s">
        <v>1432</v>
      </c>
      <c r="E365" t="s">
        <v>261</v>
      </c>
      <c r="F365" t="s">
        <v>1433</v>
      </c>
      <c r="G365" t="s">
        <v>1434</v>
      </c>
      <c r="H365">
        <v>0.72</v>
      </c>
      <c r="I365" t="s">
        <v>435</v>
      </c>
      <c r="J365" t="str">
        <f t="shared" si="5"/>
        <v>Disclaiming assessment capacity</v>
      </c>
      <c r="K365" t="e">
        <f>_xlfn.XLOOKUP(J365,#REF!,#REF!,"0",0,1)</f>
        <v>#REF!</v>
      </c>
      <c r="N365" t="str">
        <f>IFERROR(INDEX('Hoja 1 - Supabase Transcripts'!$A:$DN,MATCH(A365,'Hoja 1 - Supabase Transcripts'!$A:$A,0),MATCH("gap_segmentation_"&amp;E365,'Hoja 1 - Supabase Transcripts'!$2:$2,0)),"not found")</f>
        <v>not found</v>
      </c>
    </row>
    <row r="366" spans="1:14" ht="409.5" customHeight="1">
      <c r="A366" t="s">
        <v>172</v>
      </c>
      <c r="B366">
        <v>1</v>
      </c>
      <c r="C366" t="s">
        <v>1435</v>
      </c>
      <c r="D366" t="s">
        <v>1436</v>
      </c>
      <c r="E366" t="s">
        <v>313</v>
      </c>
      <c r="F366" t="s">
        <v>1437</v>
      </c>
      <c r="G366" t="s">
        <v>1438</v>
      </c>
      <c r="H366">
        <v>0.85</v>
      </c>
      <c r="I366" t="s">
        <v>264</v>
      </c>
      <c r="J366" t="str">
        <f t="shared" si="5"/>
        <v>Concern content - FAMILY A</v>
      </c>
      <c r="K366"/>
      <c r="N366" t="str">
        <f>IFERROR(INDEX('Hoja 1 - Supabase Transcripts'!$A:$DN,MATCH(A366,'Hoja 1 - Supabase Transcripts'!$A:$A,0),MATCH("gap_segmentation_"&amp;E366,'Hoja 1 - Supabase Transcripts'!$2:$2,0)),"not found")</f>
        <v>not found</v>
      </c>
    </row>
    <row r="367" spans="1:14" ht="409.5" customHeight="1">
      <c r="A367" t="s">
        <v>172</v>
      </c>
      <c r="B367">
        <v>1</v>
      </c>
      <c r="C367" t="s">
        <v>1435</v>
      </c>
      <c r="D367" t="s">
        <v>1439</v>
      </c>
      <c r="E367" t="s">
        <v>256</v>
      </c>
      <c r="F367" t="s">
        <v>1440</v>
      </c>
      <c r="G367" t="s">
        <v>1438</v>
      </c>
      <c r="H367">
        <v>0.9</v>
      </c>
      <c r="I367" t="s">
        <v>264</v>
      </c>
      <c r="J367" t="str">
        <f t="shared" si="5"/>
        <v>Concern content - FAMILY A</v>
      </c>
      <c r="K367"/>
      <c r="N367" t="str">
        <f>IFERROR(INDEX('Hoja 1 - Supabase Transcripts'!$A:$DN,MATCH(A367,'Hoja 1 - Supabase Transcripts'!$A:$A,0),MATCH("gap_segmentation_"&amp;E367,'Hoja 1 - Supabase Transcripts'!$2:$2,0)),"not found")</f>
        <v>not found</v>
      </c>
    </row>
    <row r="368" spans="1:14" ht="409.5" customHeight="1">
      <c r="A368" t="s">
        <v>211</v>
      </c>
      <c r="B368">
        <v>2</v>
      </c>
      <c r="C368" t="s">
        <v>1441</v>
      </c>
      <c r="D368" t="s">
        <v>1442</v>
      </c>
      <c r="E368" t="s">
        <v>313</v>
      </c>
      <c r="F368" t="s">
        <v>1443</v>
      </c>
      <c r="G368" t="s">
        <v>1444</v>
      </c>
      <c r="H368">
        <v>0.95</v>
      </c>
      <c r="I368" t="s">
        <v>264</v>
      </c>
      <c r="J368" t="str">
        <f t="shared" si="5"/>
        <v>Concern content - FAMILY A</v>
      </c>
      <c r="K368"/>
      <c r="N368" t="str">
        <f>IFERROR(INDEX('Hoja 1 - Supabase Transcripts'!$A:$DN,MATCH(A368,'Hoja 1 - Supabase Transcripts'!$A:$A,0),MATCH("gap_segmentation_"&amp;E368,'Hoja 1 - Supabase Transcripts'!$2:$2,0)),"not found")</f>
        <v>not found</v>
      </c>
    </row>
    <row r="369" spans="1:14" ht="409.5" customHeight="1">
      <c r="A369" t="s">
        <v>211</v>
      </c>
      <c r="B369">
        <v>2</v>
      </c>
      <c r="C369" t="s">
        <v>1441</v>
      </c>
      <c r="D369" t="s">
        <v>1445</v>
      </c>
      <c r="E369" t="s">
        <v>429</v>
      </c>
      <c r="F369" t="s">
        <v>1446</v>
      </c>
      <c r="G369" t="s">
        <v>1447</v>
      </c>
      <c r="H369">
        <v>0.9</v>
      </c>
      <c r="I369" t="s">
        <v>264</v>
      </c>
      <c r="J369" t="str">
        <f t="shared" si="5"/>
        <v>Concern content - FAMILY A</v>
      </c>
      <c r="K369"/>
      <c r="N369" t="str">
        <f>IFERROR(INDEX('Hoja 1 - Supabase Transcripts'!$A:$DN,MATCH(A369,'Hoja 1 - Supabase Transcripts'!$A:$A,0),MATCH("gap_segmentation_"&amp;E369,'Hoja 1 - Supabase Transcripts'!$2:$2,0)),"not found")</f>
        <v>not found</v>
      </c>
    </row>
    <row r="370" spans="1:14" ht="409.5" customHeight="1">
      <c r="A370" t="s">
        <v>211</v>
      </c>
      <c r="B370">
        <v>2</v>
      </c>
      <c r="C370" t="s">
        <v>1441</v>
      </c>
      <c r="D370" t="s">
        <v>1448</v>
      </c>
      <c r="E370" t="s">
        <v>256</v>
      </c>
      <c r="F370" t="s">
        <v>1449</v>
      </c>
      <c r="G370" t="s">
        <v>1450</v>
      </c>
      <c r="H370">
        <v>1</v>
      </c>
      <c r="I370" t="s">
        <v>264</v>
      </c>
      <c r="J370" t="str">
        <f t="shared" si="5"/>
        <v>Concern content - FAMILY A</v>
      </c>
      <c r="K370"/>
      <c r="N370" t="str">
        <f>IFERROR(INDEX('Hoja 1 - Supabase Transcripts'!$A:$DN,MATCH(A370,'Hoja 1 - Supabase Transcripts'!$A:$A,0),MATCH("gap_segmentation_"&amp;E370,'Hoja 1 - Supabase Transcripts'!$2:$2,0)),"not found")</f>
        <v>not found</v>
      </c>
    </row>
    <row r="371" spans="1:14" ht="409.5" customHeight="1">
      <c r="A371" t="s">
        <v>211</v>
      </c>
      <c r="B371">
        <v>2</v>
      </c>
      <c r="C371" t="s">
        <v>1441</v>
      </c>
      <c r="D371" t="s">
        <v>1451</v>
      </c>
      <c r="E371" s="20" t="s">
        <v>256</v>
      </c>
      <c r="F371" t="s">
        <v>1452</v>
      </c>
      <c r="G371" t="s">
        <v>1453</v>
      </c>
      <c r="H371">
        <v>0.9</v>
      </c>
      <c r="I371" t="s">
        <v>264</v>
      </c>
      <c r="J371" t="str">
        <f t="shared" si="5"/>
        <v>Concern content - FAMILY A</v>
      </c>
      <c r="K371"/>
      <c r="N371" t="str">
        <f>IFERROR(INDEX('Hoja 1 - Supabase Transcripts'!$A:$DN,MATCH(A371,'Hoja 1 - Supabase Transcripts'!$A:$A,0),MATCH("gap_segmentation_"&amp;E371,'Hoja 1 - Supabase Transcripts'!$2:$2,0)),"not found")</f>
        <v>not found</v>
      </c>
    </row>
    <row r="372" spans="1:14" ht="409.5" customHeight="1">
      <c r="A372" t="s">
        <v>211</v>
      </c>
      <c r="B372">
        <v>2</v>
      </c>
      <c r="C372" t="s">
        <v>1441</v>
      </c>
      <c r="D372" t="s">
        <v>1454</v>
      </c>
      <c r="E372" s="20" t="s">
        <v>256</v>
      </c>
      <c r="F372" t="s">
        <v>1455</v>
      </c>
      <c r="G372" t="s">
        <v>1456</v>
      </c>
      <c r="H372">
        <v>0.95</v>
      </c>
      <c r="I372" t="s">
        <v>274</v>
      </c>
      <c r="J372" t="str">
        <f t="shared" si="5"/>
        <v>FAMILY_A_CONCERN_CONTENT</v>
      </c>
      <c r="K372"/>
      <c r="N372" t="str">
        <f>IFERROR(INDEX('Hoja 1 - Supabase Transcripts'!$A:$DN,MATCH(A372,'Hoja 1 - Supabase Transcripts'!$A:$A,0),MATCH("gap_segmentation_"&amp;E372,'Hoja 1 - Supabase Transcripts'!$2:$2,0)),"not found")</f>
        <v>not found</v>
      </c>
    </row>
    <row r="373" spans="1:14" ht="409.5" customHeight="1">
      <c r="A373" t="s">
        <v>211</v>
      </c>
      <c r="B373">
        <v>2</v>
      </c>
      <c r="C373" t="s">
        <v>1441</v>
      </c>
      <c r="D373" t="s">
        <v>1457</v>
      </c>
      <c r="E373" s="19" t="s">
        <v>256</v>
      </c>
      <c r="F373" t="s">
        <v>1458</v>
      </c>
      <c r="G373" t="s">
        <v>1459</v>
      </c>
      <c r="H373">
        <v>0.85</v>
      </c>
      <c r="I373" t="s">
        <v>667</v>
      </c>
      <c r="J373" t="str">
        <f t="shared" si="5"/>
        <v>Recognized but unescalated concerns</v>
      </c>
      <c r="K373" t="e">
        <f>_xlfn.XLOOKUP(J373,#REF!,#REF!,"0",0,1)</f>
        <v>#REF!</v>
      </c>
      <c r="N373" t="str">
        <f>IFERROR(INDEX('Hoja 1 - Supabase Transcripts'!$A:$DN,MATCH(A373,'Hoja 1 - Supabase Transcripts'!$A:$A,0),MATCH("gap_segmentation_"&amp;E373,'Hoja 1 - Supabase Transcripts'!$2:$2,0)),"not found")</f>
        <v>not found</v>
      </c>
    </row>
    <row r="374" spans="1:14" ht="409.5" customHeight="1">
      <c r="A374" t="s">
        <v>211</v>
      </c>
      <c r="B374">
        <v>2</v>
      </c>
      <c r="C374" t="s">
        <v>1441</v>
      </c>
      <c r="D374" t="s">
        <v>1460</v>
      </c>
      <c r="E374" s="20" t="s">
        <v>256</v>
      </c>
      <c r="F374" t="s">
        <v>1461</v>
      </c>
      <c r="G374" t="s">
        <v>1462</v>
      </c>
      <c r="H374">
        <v>1</v>
      </c>
      <c r="I374" t="s">
        <v>264</v>
      </c>
      <c r="J374" t="str">
        <f t="shared" si="5"/>
        <v>Concern content - FAMILY A</v>
      </c>
      <c r="K374"/>
      <c r="N374" t="str">
        <f>IFERROR(INDEX('Hoja 1 - Supabase Transcripts'!$A:$DN,MATCH(A374,'Hoja 1 - Supabase Transcripts'!$A:$A,0),MATCH("gap_segmentation_"&amp;E374,'Hoja 1 - Supabase Transcripts'!$2:$2,0)),"not found")</f>
        <v>not found</v>
      </c>
    </row>
    <row r="375" spans="1:14" ht="409.5" customHeight="1">
      <c r="A375" t="s">
        <v>211</v>
      </c>
      <c r="B375">
        <v>2</v>
      </c>
      <c r="C375" t="s">
        <v>1441</v>
      </c>
      <c r="D375" t="s">
        <v>1463</v>
      </c>
      <c r="E375" s="19" t="s">
        <v>256</v>
      </c>
      <c r="F375" t="s">
        <v>1464</v>
      </c>
      <c r="G375" t="s">
        <v>1465</v>
      </c>
      <c r="H375">
        <v>1</v>
      </c>
      <c r="I375" t="s">
        <v>326</v>
      </c>
      <c r="J375" t="str">
        <f t="shared" si="5"/>
        <v>Hedged, qualified disclosure</v>
      </c>
      <c r="K375" t="e">
        <f>_xlfn.XLOOKUP(J375,#REF!,#REF!,"0",0,1)</f>
        <v>#REF!</v>
      </c>
      <c r="N375" t="str">
        <f>IFERROR(INDEX('Hoja 1 - Supabase Transcripts'!$A:$DN,MATCH(A375,'Hoja 1 - Supabase Transcripts'!$A:$A,0),MATCH("gap_segmentation_"&amp;E375,'Hoja 1 - Supabase Transcripts'!$2:$2,0)),"not found")</f>
        <v>not found</v>
      </c>
    </row>
    <row r="376" spans="1:14" ht="409.5" customHeight="1">
      <c r="A376" t="s">
        <v>211</v>
      </c>
      <c r="B376">
        <v>2</v>
      </c>
      <c r="C376" t="s">
        <v>1441</v>
      </c>
      <c r="D376" t="s">
        <v>1466</v>
      </c>
      <c r="E376" t="s">
        <v>261</v>
      </c>
      <c r="F376" t="s">
        <v>1467</v>
      </c>
      <c r="G376" t="s">
        <v>1468</v>
      </c>
      <c r="H376">
        <v>1</v>
      </c>
      <c r="I376" t="s">
        <v>264</v>
      </c>
      <c r="J376" t="str">
        <f t="shared" si="5"/>
        <v>Concern content - FAMILY A</v>
      </c>
      <c r="K376"/>
      <c r="N376" t="str">
        <f>IFERROR(INDEX('Hoja 1 - Supabase Transcripts'!$A:$DN,MATCH(A376,'Hoja 1 - Supabase Transcripts'!$A:$A,0),MATCH("gap_segmentation_"&amp;E376,'Hoja 1 - Supabase Transcripts'!$2:$2,0)),"not found")</f>
        <v>not found</v>
      </c>
    </row>
    <row r="377" spans="1:14" ht="409.5" customHeight="1">
      <c r="A377" t="s">
        <v>211</v>
      </c>
      <c r="B377">
        <v>2</v>
      </c>
      <c r="C377" t="s">
        <v>1441</v>
      </c>
      <c r="D377" t="s">
        <v>1469</v>
      </c>
      <c r="E377" t="s">
        <v>261</v>
      </c>
      <c r="F377" t="s">
        <v>1470</v>
      </c>
      <c r="G377" t="s">
        <v>1471</v>
      </c>
      <c r="H377">
        <v>0.9</v>
      </c>
      <c r="I377" t="s">
        <v>264</v>
      </c>
      <c r="J377" t="str">
        <f t="shared" si="5"/>
        <v>Concern content - FAMILY A</v>
      </c>
      <c r="K377"/>
      <c r="N377" t="str">
        <f>IFERROR(INDEX('Hoja 1 - Supabase Transcripts'!$A:$DN,MATCH(A377,'Hoja 1 - Supabase Transcripts'!$A:$A,0),MATCH("gap_segmentation_"&amp;E377,'Hoja 1 - Supabase Transcripts'!$2:$2,0)),"not found")</f>
        <v>not found</v>
      </c>
    </row>
    <row r="378" spans="1:14" ht="409.5" customHeight="1">
      <c r="A378" t="s">
        <v>211</v>
      </c>
      <c r="B378">
        <v>2</v>
      </c>
      <c r="C378" t="s">
        <v>1441</v>
      </c>
      <c r="D378" t="s">
        <v>1472</v>
      </c>
      <c r="E378" t="s">
        <v>261</v>
      </c>
      <c r="F378" t="s">
        <v>1473</v>
      </c>
      <c r="G378" t="s">
        <v>1474</v>
      </c>
      <c r="H378">
        <v>0.95</v>
      </c>
      <c r="I378" t="s">
        <v>274</v>
      </c>
      <c r="J378" t="str">
        <f t="shared" si="5"/>
        <v>FAMILY_A_CONCERN_CONTENT</v>
      </c>
      <c r="K378"/>
      <c r="N378" t="str">
        <f>IFERROR(INDEX('Hoja 1 - Supabase Transcripts'!$A:$DN,MATCH(A378,'Hoja 1 - Supabase Transcripts'!$A:$A,0),MATCH("gap_segmentation_"&amp;E378,'Hoja 1 - Supabase Transcripts'!$2:$2,0)),"not found")</f>
        <v>not found</v>
      </c>
    </row>
    <row r="379" spans="1:14" ht="409.5" customHeight="1">
      <c r="A379" t="s">
        <v>211</v>
      </c>
      <c r="B379">
        <v>2</v>
      </c>
      <c r="C379" t="s">
        <v>1441</v>
      </c>
      <c r="D379" t="s">
        <v>1475</v>
      </c>
      <c r="E379" t="s">
        <v>261</v>
      </c>
      <c r="F379" t="s">
        <v>1476</v>
      </c>
      <c r="G379" t="s">
        <v>1477</v>
      </c>
      <c r="H379">
        <v>0.95</v>
      </c>
      <c r="I379" t="s">
        <v>264</v>
      </c>
      <c r="J379" t="str">
        <f t="shared" si="5"/>
        <v>Concern content - FAMILY A</v>
      </c>
      <c r="K379"/>
      <c r="N379" t="str">
        <f>IFERROR(INDEX('Hoja 1 - Supabase Transcripts'!$A:$DN,MATCH(A379,'Hoja 1 - Supabase Transcripts'!$A:$A,0),MATCH("gap_segmentation_"&amp;E379,'Hoja 1 - Supabase Transcripts'!$2:$2,0)),"not found")</f>
        <v>not found</v>
      </c>
    </row>
    <row r="380" spans="1:14" ht="409.5" customHeight="1">
      <c r="A380" t="s">
        <v>211</v>
      </c>
      <c r="B380">
        <v>2</v>
      </c>
      <c r="C380" t="s">
        <v>1441</v>
      </c>
      <c r="D380" t="s">
        <v>1478</v>
      </c>
      <c r="E380" t="s">
        <v>261</v>
      </c>
      <c r="F380" t="s">
        <v>1479</v>
      </c>
      <c r="G380" t="s">
        <v>1480</v>
      </c>
      <c r="H380">
        <v>0.9</v>
      </c>
      <c r="I380" t="s">
        <v>264</v>
      </c>
      <c r="J380" t="str">
        <f t="shared" si="5"/>
        <v>Concern content - FAMILY A</v>
      </c>
      <c r="K380"/>
      <c r="N380" t="str">
        <f>IFERROR(INDEX('Hoja 1 - Supabase Transcripts'!$A:$DN,MATCH(A380,'Hoja 1 - Supabase Transcripts'!$A:$A,0),MATCH("gap_segmentation_"&amp;E380,'Hoja 1 - Supabase Transcripts'!$2:$2,0)),"not found")</f>
        <v>not found</v>
      </c>
    </row>
    <row r="381" spans="1:14" ht="409.5" customHeight="1">
      <c r="A381" t="s">
        <v>211</v>
      </c>
      <c r="B381">
        <v>2</v>
      </c>
      <c r="C381" t="s">
        <v>1441</v>
      </c>
      <c r="D381" t="s">
        <v>1481</v>
      </c>
      <c r="E381" t="s">
        <v>261</v>
      </c>
      <c r="F381" t="s">
        <v>1482</v>
      </c>
      <c r="G381" t="s">
        <v>1483</v>
      </c>
      <c r="H381">
        <v>0.95</v>
      </c>
      <c r="I381" t="s">
        <v>264</v>
      </c>
      <c r="J381" t="str">
        <f t="shared" si="5"/>
        <v>Concern content - FAMILY A</v>
      </c>
      <c r="K381"/>
      <c r="N381" t="str">
        <f>IFERROR(INDEX('Hoja 1 - Supabase Transcripts'!$A:$DN,MATCH(A381,'Hoja 1 - Supabase Transcripts'!$A:$A,0),MATCH("gap_segmentation_"&amp;E381,'Hoja 1 - Supabase Transcripts'!$2:$2,0)),"not found")</f>
        <v>not found</v>
      </c>
    </row>
    <row r="382" spans="1:14" ht="409.5" customHeight="1">
      <c r="A382" t="s">
        <v>211</v>
      </c>
      <c r="B382">
        <v>2</v>
      </c>
      <c r="C382" t="s">
        <v>1441</v>
      </c>
      <c r="D382" t="s">
        <v>1484</v>
      </c>
      <c r="E382" t="s">
        <v>266</v>
      </c>
      <c r="F382" t="s">
        <v>1485</v>
      </c>
      <c r="G382" t="s">
        <v>1486</v>
      </c>
      <c r="H382">
        <v>0.85</v>
      </c>
      <c r="I382" t="s">
        <v>274</v>
      </c>
      <c r="J382" t="str">
        <f t="shared" si="5"/>
        <v>FAMILY_A_CONCERN_CONTENT</v>
      </c>
      <c r="K382"/>
      <c r="N382" t="str">
        <f>IFERROR(INDEX('Hoja 1 - Supabase Transcripts'!$A:$DN,MATCH(A382,'Hoja 1 - Supabase Transcripts'!$A:$A,0),MATCH("gap_segmentation_"&amp;E382,'Hoja 1 - Supabase Transcripts'!$2:$2,0)),"not found")</f>
        <v>not found</v>
      </c>
    </row>
    <row r="383" spans="1:14" ht="409.5" customHeight="1">
      <c r="A383" t="s">
        <v>211</v>
      </c>
      <c r="B383">
        <v>2</v>
      </c>
      <c r="C383" t="s">
        <v>1441</v>
      </c>
      <c r="D383" t="s">
        <v>1487</v>
      </c>
      <c r="E383" t="s">
        <v>266</v>
      </c>
      <c r="F383" t="s">
        <v>1488</v>
      </c>
      <c r="G383" t="s">
        <v>1489</v>
      </c>
      <c r="H383">
        <v>1</v>
      </c>
      <c r="I383" t="s">
        <v>264</v>
      </c>
      <c r="J383" t="str">
        <f t="shared" si="5"/>
        <v>Concern content - FAMILY A</v>
      </c>
      <c r="K383"/>
      <c r="N383" t="str">
        <f>IFERROR(INDEX('Hoja 1 - Supabase Transcripts'!$A:$DN,MATCH(A383,'Hoja 1 - Supabase Transcripts'!$A:$A,0),MATCH("gap_segmentation_"&amp;E383,'Hoja 1 - Supabase Transcripts'!$2:$2,0)),"not found")</f>
        <v>not found</v>
      </c>
    </row>
    <row r="384" spans="1:14" ht="409.5" customHeight="1">
      <c r="A384" t="s">
        <v>211</v>
      </c>
      <c r="B384">
        <v>2</v>
      </c>
      <c r="C384" t="s">
        <v>1441</v>
      </c>
      <c r="D384" t="s">
        <v>1490</v>
      </c>
      <c r="E384" s="16" t="s">
        <v>266</v>
      </c>
      <c r="F384" t="s">
        <v>1491</v>
      </c>
      <c r="G384" t="s">
        <v>1492</v>
      </c>
      <c r="H384">
        <v>0.95</v>
      </c>
      <c r="I384" t="s">
        <v>293</v>
      </c>
      <c r="J384" t="str">
        <f t="shared" si="5"/>
        <v>Protective attribution shifting</v>
      </c>
      <c r="K384" t="e">
        <f>_xlfn.XLOOKUP(J384,#REF!,#REF!,"0",0,1)</f>
        <v>#REF!</v>
      </c>
      <c r="N384" t="str">
        <f>IFERROR(INDEX('Hoja 1 - Supabase Transcripts'!$A:$DN,MATCH(A384,'Hoja 1 - Supabase Transcripts'!$A:$A,0),MATCH("gap_segmentation_"&amp;E384,'Hoja 1 - Supabase Transcripts'!$2:$2,0)),"not found")</f>
        <v>not found</v>
      </c>
    </row>
    <row r="385" spans="1:14" ht="409.5" customHeight="1">
      <c r="A385" t="s">
        <v>211</v>
      </c>
      <c r="B385">
        <v>2</v>
      </c>
      <c r="C385" t="s">
        <v>1441</v>
      </c>
      <c r="D385" t="s">
        <v>1493</v>
      </c>
      <c r="E385" s="16" t="s">
        <v>266</v>
      </c>
      <c r="F385" t="s">
        <v>1494</v>
      </c>
      <c r="G385" t="s">
        <v>1495</v>
      </c>
      <c r="H385">
        <v>0.9</v>
      </c>
      <c r="I385" t="s">
        <v>293</v>
      </c>
      <c r="J385" t="str">
        <f t="shared" si="5"/>
        <v>Protective attribution shifting</v>
      </c>
      <c r="K385" t="e">
        <f>_xlfn.XLOOKUP(J385,#REF!,#REF!,"0",0,1)</f>
        <v>#REF!</v>
      </c>
      <c r="N385" t="str">
        <f>IFERROR(INDEX('Hoja 1 - Supabase Transcripts'!$A:$DN,MATCH(A385,'Hoja 1 - Supabase Transcripts'!$A:$A,0),MATCH("gap_segmentation_"&amp;E385,'Hoja 1 - Supabase Transcripts'!$2:$2,0)),"not found")</f>
        <v>not found</v>
      </c>
    </row>
    <row r="386" spans="1:14" ht="409.5" customHeight="1">
      <c r="A386" t="s">
        <v>211</v>
      </c>
      <c r="B386">
        <v>2</v>
      </c>
      <c r="C386" t="s">
        <v>1441</v>
      </c>
      <c r="D386" t="s">
        <v>1496</v>
      </c>
      <c r="E386" t="s">
        <v>266</v>
      </c>
      <c r="F386" t="s">
        <v>1497</v>
      </c>
      <c r="G386" t="s">
        <v>1498</v>
      </c>
      <c r="H386">
        <v>1</v>
      </c>
      <c r="I386" t="s">
        <v>264</v>
      </c>
      <c r="J386" t="str">
        <f t="shared" ref="J386:J430" si="6">IF(OR(I386="Epistemic hedging",I386="Qualifying severity while disclosing",I386="Downgrading emotional intensity"),"Hedged, qualified disclosure",IF(OR(I386="Externalizing accountability",I386="Self-attributing structural problems"),"Protective attribution shifting",IF(OR(I386="Refusal to elaborate under probing",I386="Retracting or qualifying disclosure"),"Withholding under probing",IF(OR(I386="Managing traceability and exposure",I386="Compartmentalizing the AI channel"),"Channel exposure management",IF(OR(I386="Skepticism toward remedy",I386="Anticipating dismissal or misrecognition"),"Anticipated futility of voice",IF(OR(I386="Calling out known but unaddressed issues",I386="Silence within expression"),"Recognized but unescalated concerns",I386))))))</f>
        <v>Concern content - FAMILY A</v>
      </c>
      <c r="K386"/>
      <c r="N386" t="str">
        <f>IFERROR(INDEX('Hoja 1 - Supabase Transcripts'!$A:$DN,MATCH(A386,'Hoja 1 - Supabase Transcripts'!$A:$A,0),MATCH("gap_segmentation_"&amp;E386,'Hoja 1 - Supabase Transcripts'!$2:$2,0)),"not found")</f>
        <v>not found</v>
      </c>
    </row>
    <row r="387" spans="1:14" ht="409.5" customHeight="1">
      <c r="A387" t="s">
        <v>205</v>
      </c>
      <c r="B387">
        <v>1</v>
      </c>
      <c r="C387" t="s">
        <v>1499</v>
      </c>
      <c r="D387" t="s">
        <v>1500</v>
      </c>
      <c r="E387" t="s">
        <v>313</v>
      </c>
      <c r="F387" t="s">
        <v>1501</v>
      </c>
      <c r="G387" t="s">
        <v>1502</v>
      </c>
      <c r="H387">
        <v>0.85</v>
      </c>
      <c r="I387" t="s">
        <v>293</v>
      </c>
      <c r="J387" t="str">
        <f t="shared" si="6"/>
        <v>Protective attribution shifting</v>
      </c>
      <c r="K387" t="e">
        <f>_xlfn.XLOOKUP(J387,#REF!,#REF!,"0",0,1)</f>
        <v>#REF!</v>
      </c>
      <c r="N387" t="str">
        <f>IFERROR(INDEX('Hoja 1 - Supabase Transcripts'!$A:$DN,MATCH(A387,'Hoja 1 - Supabase Transcripts'!$A:$A,0),MATCH("gap_segmentation_"&amp;E387,'Hoja 1 - Supabase Transcripts'!$2:$2,0)),"not found")</f>
        <v>not found</v>
      </c>
    </row>
    <row r="388" spans="1:14" ht="409.5" customHeight="1">
      <c r="A388" t="s">
        <v>205</v>
      </c>
      <c r="B388">
        <v>1</v>
      </c>
      <c r="C388" t="s">
        <v>1499</v>
      </c>
      <c r="D388" t="s">
        <v>1503</v>
      </c>
      <c r="E388" t="s">
        <v>313</v>
      </c>
      <c r="F388" t="s">
        <v>1504</v>
      </c>
      <c r="G388" t="s">
        <v>1505</v>
      </c>
      <c r="H388">
        <v>0.9</v>
      </c>
      <c r="I388" t="s">
        <v>264</v>
      </c>
      <c r="J388" t="str">
        <f t="shared" si="6"/>
        <v>Concern content - FAMILY A</v>
      </c>
      <c r="K388"/>
      <c r="N388" t="str">
        <f>IFERROR(INDEX('Hoja 1 - Supabase Transcripts'!$A:$DN,MATCH(A388,'Hoja 1 - Supabase Transcripts'!$A:$A,0),MATCH("gap_segmentation_"&amp;E388,'Hoja 1 - Supabase Transcripts'!$2:$2,0)),"not found")</f>
        <v>not found</v>
      </c>
    </row>
    <row r="389" spans="1:14" ht="409.5" customHeight="1">
      <c r="A389" t="s">
        <v>205</v>
      </c>
      <c r="B389">
        <v>1</v>
      </c>
      <c r="C389" t="s">
        <v>1499</v>
      </c>
      <c r="D389" t="s">
        <v>1506</v>
      </c>
      <c r="E389" s="19" t="s">
        <v>256</v>
      </c>
      <c r="F389" t="s">
        <v>1507</v>
      </c>
      <c r="G389" t="s">
        <v>1508</v>
      </c>
      <c r="H389">
        <v>0.85</v>
      </c>
      <c r="I389" t="s">
        <v>354</v>
      </c>
      <c r="J389" t="str">
        <f t="shared" si="6"/>
        <v>Compensatory reframing</v>
      </c>
      <c r="K389" t="e">
        <f>_xlfn.XLOOKUP(J389,#REF!,#REF!,"0",0,1)</f>
        <v>#REF!</v>
      </c>
      <c r="N389" t="str">
        <f>IFERROR(INDEX('Hoja 1 - Supabase Transcripts'!$A:$DN,MATCH(A389,'Hoja 1 - Supabase Transcripts'!$A:$A,0),MATCH("gap_segmentation_"&amp;E389,'Hoja 1 - Supabase Transcripts'!$2:$2,0)),"not found")</f>
        <v>not found</v>
      </c>
    </row>
    <row r="390" spans="1:14" ht="409.5" customHeight="1">
      <c r="A390" t="s">
        <v>205</v>
      </c>
      <c r="B390">
        <v>1</v>
      </c>
      <c r="C390" t="s">
        <v>1499</v>
      </c>
      <c r="D390" t="s">
        <v>1509</v>
      </c>
      <c r="E390" t="s">
        <v>261</v>
      </c>
      <c r="F390" t="s">
        <v>1510</v>
      </c>
      <c r="G390" t="s">
        <v>1511</v>
      </c>
      <c r="H390">
        <v>0.85</v>
      </c>
      <c r="I390" t="s">
        <v>624</v>
      </c>
      <c r="J390" t="str">
        <f t="shared" si="6"/>
        <v>Anticipated futility of voice</v>
      </c>
      <c r="K390" t="e">
        <f>_xlfn.XLOOKUP(J390,#REF!,#REF!,"0",0,1)</f>
        <v>#REF!</v>
      </c>
      <c r="N390" t="str">
        <f>IFERROR(INDEX('Hoja 1 - Supabase Transcripts'!$A:$DN,MATCH(A390,'Hoja 1 - Supabase Transcripts'!$A:$A,0),MATCH("gap_segmentation_"&amp;E390,'Hoja 1 - Supabase Transcripts'!$2:$2,0)),"not found")</f>
        <v>not found</v>
      </c>
    </row>
    <row r="391" spans="1:14" ht="409.5" customHeight="1">
      <c r="A391" t="s">
        <v>205</v>
      </c>
      <c r="B391">
        <v>1</v>
      </c>
      <c r="C391" t="s">
        <v>1499</v>
      </c>
      <c r="D391" t="s">
        <v>1512</v>
      </c>
      <c r="E391" t="s">
        <v>261</v>
      </c>
      <c r="F391" t="s">
        <v>1513</v>
      </c>
      <c r="G391" t="s">
        <v>1514</v>
      </c>
      <c r="H391">
        <v>0.95</v>
      </c>
      <c r="I391" t="s">
        <v>274</v>
      </c>
      <c r="J391" t="str">
        <f t="shared" si="6"/>
        <v>FAMILY_A_CONCERN_CONTENT</v>
      </c>
      <c r="K391"/>
      <c r="N391" t="str">
        <f>IFERROR(INDEX('Hoja 1 - Supabase Transcripts'!$A:$DN,MATCH(A391,'Hoja 1 - Supabase Transcripts'!$A:$A,0),MATCH("gap_segmentation_"&amp;E391,'Hoja 1 - Supabase Transcripts'!$2:$2,0)),"not found")</f>
        <v>not found</v>
      </c>
    </row>
    <row r="392" spans="1:14" ht="409.5" customHeight="1">
      <c r="A392" t="s">
        <v>205</v>
      </c>
      <c r="B392">
        <v>1</v>
      </c>
      <c r="C392" t="s">
        <v>1499</v>
      </c>
      <c r="D392" t="s">
        <v>1515</v>
      </c>
      <c r="E392" t="s">
        <v>261</v>
      </c>
      <c r="F392" t="s">
        <v>1516</v>
      </c>
      <c r="G392" t="s">
        <v>1517</v>
      </c>
      <c r="H392">
        <v>0.85</v>
      </c>
      <c r="I392" t="s">
        <v>293</v>
      </c>
      <c r="J392" t="str">
        <f t="shared" si="6"/>
        <v>Protective attribution shifting</v>
      </c>
      <c r="K392" t="e">
        <f>_xlfn.XLOOKUP(J392,#REF!,#REF!,"0",0,1)</f>
        <v>#REF!</v>
      </c>
      <c r="N392" t="str">
        <f>IFERROR(INDEX('Hoja 1 - Supabase Transcripts'!$A:$DN,MATCH(A392,'Hoja 1 - Supabase Transcripts'!$A:$A,0),MATCH("gap_segmentation_"&amp;E392,'Hoja 1 - Supabase Transcripts'!$2:$2,0)),"not found")</f>
        <v>not found</v>
      </c>
    </row>
    <row r="393" spans="1:14" ht="409.5" customHeight="1">
      <c r="A393" t="s">
        <v>205</v>
      </c>
      <c r="B393">
        <v>1</v>
      </c>
      <c r="C393" t="s">
        <v>1499</v>
      </c>
      <c r="D393" t="s">
        <v>1518</v>
      </c>
      <c r="E393" t="s">
        <v>261</v>
      </c>
      <c r="F393" t="s">
        <v>1519</v>
      </c>
      <c r="G393" t="s">
        <v>1520</v>
      </c>
      <c r="H393">
        <v>0.9</v>
      </c>
      <c r="I393" t="s">
        <v>264</v>
      </c>
      <c r="J393" t="str">
        <f t="shared" si="6"/>
        <v>Concern content - FAMILY A</v>
      </c>
      <c r="K393"/>
      <c r="N393" t="str">
        <f>IFERROR(INDEX('Hoja 1 - Supabase Transcripts'!$A:$DN,MATCH(A393,'Hoja 1 - Supabase Transcripts'!$A:$A,0),MATCH("gap_segmentation_"&amp;E393,'Hoja 1 - Supabase Transcripts'!$2:$2,0)),"not found")</f>
        <v>not found</v>
      </c>
    </row>
    <row r="394" spans="1:14" ht="409.5" customHeight="1">
      <c r="A394" t="s">
        <v>205</v>
      </c>
      <c r="B394">
        <v>1</v>
      </c>
      <c r="C394" t="s">
        <v>1499</v>
      </c>
      <c r="D394" t="s">
        <v>1521</v>
      </c>
      <c r="E394" t="s">
        <v>261</v>
      </c>
      <c r="F394" t="s">
        <v>1522</v>
      </c>
      <c r="G394" t="s">
        <v>1523</v>
      </c>
      <c r="H394">
        <v>0.95</v>
      </c>
      <c r="I394" t="s">
        <v>264</v>
      </c>
      <c r="J394" t="str">
        <f t="shared" si="6"/>
        <v>Concern content - FAMILY A</v>
      </c>
      <c r="K394"/>
      <c r="N394" t="str">
        <f>IFERROR(INDEX('Hoja 1 - Supabase Transcripts'!$A:$DN,MATCH(A394,'Hoja 1 - Supabase Transcripts'!$A:$A,0),MATCH("gap_segmentation_"&amp;E394,'Hoja 1 - Supabase Transcripts'!$2:$2,0)),"not found")</f>
        <v>not found</v>
      </c>
    </row>
    <row r="395" spans="1:14" ht="409.5" customHeight="1">
      <c r="A395" t="s">
        <v>205</v>
      </c>
      <c r="B395">
        <v>1</v>
      </c>
      <c r="C395" t="s">
        <v>1499</v>
      </c>
      <c r="D395" t="s">
        <v>1524</v>
      </c>
      <c r="E395" s="16" t="s">
        <v>266</v>
      </c>
      <c r="F395" t="s">
        <v>1525</v>
      </c>
      <c r="G395" t="s">
        <v>1526</v>
      </c>
      <c r="H395">
        <v>0.95</v>
      </c>
      <c r="I395" t="s">
        <v>415</v>
      </c>
      <c r="J395" t="str">
        <f t="shared" si="6"/>
        <v>Withholding under probing</v>
      </c>
      <c r="K395" t="e">
        <f>_xlfn.XLOOKUP(J395,#REF!,#REF!,"0",0,1)</f>
        <v>#REF!</v>
      </c>
      <c r="N395" t="str">
        <f>IFERROR(INDEX('Hoja 1 - Supabase Transcripts'!$A:$DN,MATCH(A395,'Hoja 1 - Supabase Transcripts'!$A:$A,0),MATCH("gap_segmentation_"&amp;E395,'Hoja 1 - Supabase Transcripts'!$2:$2,0)),"not found")</f>
        <v>not found</v>
      </c>
    </row>
    <row r="396" spans="1:14" ht="409.5" customHeight="1">
      <c r="A396" t="s">
        <v>205</v>
      </c>
      <c r="B396">
        <v>1</v>
      </c>
      <c r="C396" t="s">
        <v>1499</v>
      </c>
      <c r="D396" t="s">
        <v>1527</v>
      </c>
      <c r="E396" t="s">
        <v>266</v>
      </c>
      <c r="F396" t="s">
        <v>1528</v>
      </c>
      <c r="G396" t="s">
        <v>1529</v>
      </c>
      <c r="H396">
        <v>0.8</v>
      </c>
      <c r="I396" t="s">
        <v>264</v>
      </c>
      <c r="J396" t="str">
        <f t="shared" si="6"/>
        <v>Concern content - FAMILY A</v>
      </c>
      <c r="K396"/>
      <c r="N396" t="str">
        <f>IFERROR(INDEX('Hoja 1 - Supabase Transcripts'!$A:$DN,MATCH(A396,'Hoja 1 - Supabase Transcripts'!$A:$A,0),MATCH("gap_segmentation_"&amp;E396,'Hoja 1 - Supabase Transcripts'!$2:$2,0)),"not found")</f>
        <v>not found</v>
      </c>
    </row>
    <row r="397" spans="1:14" ht="409.5" customHeight="1">
      <c r="A397" t="s">
        <v>205</v>
      </c>
      <c r="B397">
        <v>1</v>
      </c>
      <c r="C397" t="s">
        <v>1499</v>
      </c>
      <c r="D397" t="s">
        <v>1530</v>
      </c>
      <c r="E397" t="s">
        <v>266</v>
      </c>
      <c r="F397" t="s">
        <v>1531</v>
      </c>
      <c r="G397" t="s">
        <v>1532</v>
      </c>
      <c r="H397">
        <v>0.95</v>
      </c>
      <c r="I397" t="s">
        <v>264</v>
      </c>
      <c r="J397" t="str">
        <f t="shared" si="6"/>
        <v>Concern content - FAMILY A</v>
      </c>
      <c r="K397"/>
      <c r="N397" t="str">
        <f>IFERROR(INDEX('Hoja 1 - Supabase Transcripts'!$A:$DN,MATCH(A397,'Hoja 1 - Supabase Transcripts'!$A:$A,0),MATCH("gap_segmentation_"&amp;E397,'Hoja 1 - Supabase Transcripts'!$2:$2,0)),"not found")</f>
        <v>not found</v>
      </c>
    </row>
    <row r="398" spans="1:14" ht="409.5" customHeight="1">
      <c r="A398" t="s">
        <v>177</v>
      </c>
      <c r="B398">
        <v>1</v>
      </c>
      <c r="C398" t="s">
        <v>1533</v>
      </c>
      <c r="D398" t="s">
        <v>1534</v>
      </c>
      <c r="E398" s="20" t="s">
        <v>256</v>
      </c>
      <c r="F398" t="s">
        <v>1535</v>
      </c>
      <c r="G398" t="s">
        <v>1536</v>
      </c>
      <c r="H398">
        <v>0.92</v>
      </c>
      <c r="I398" t="s">
        <v>264</v>
      </c>
      <c r="J398" t="str">
        <f t="shared" si="6"/>
        <v>Concern content - FAMILY A</v>
      </c>
      <c r="K398"/>
      <c r="N398" t="str">
        <f>IFERROR(INDEX('Hoja 1 - Supabase Transcripts'!$A:$DN,MATCH(A398,'Hoja 1 - Supabase Transcripts'!$A:$A,0),MATCH("gap_segmentation_"&amp;E398,'Hoja 1 - Supabase Transcripts'!$2:$2,0)),"not found")</f>
        <v>not found</v>
      </c>
    </row>
    <row r="399" spans="1:14" ht="409.5" customHeight="1">
      <c r="A399" t="s">
        <v>177</v>
      </c>
      <c r="B399">
        <v>1</v>
      </c>
      <c r="C399" t="s">
        <v>1533</v>
      </c>
      <c r="D399" t="s">
        <v>1537</v>
      </c>
      <c r="E399" s="20" t="s">
        <v>256</v>
      </c>
      <c r="F399" t="s">
        <v>1538</v>
      </c>
      <c r="G399" t="s">
        <v>1539</v>
      </c>
      <c r="H399">
        <v>0.88</v>
      </c>
      <c r="I399" t="s">
        <v>264</v>
      </c>
      <c r="J399" t="str">
        <f t="shared" si="6"/>
        <v>Concern content - FAMILY A</v>
      </c>
      <c r="K399"/>
      <c r="N399" t="str">
        <f>IFERROR(INDEX('Hoja 1 - Supabase Transcripts'!$A:$DN,MATCH(A399,'Hoja 1 - Supabase Transcripts'!$A:$A,0),MATCH("gap_segmentation_"&amp;E399,'Hoja 1 - Supabase Transcripts'!$2:$2,0)),"not found")</f>
        <v>not found</v>
      </c>
    </row>
    <row r="400" spans="1:14" ht="409.5" customHeight="1">
      <c r="A400" t="s">
        <v>208</v>
      </c>
      <c r="B400">
        <v>1</v>
      </c>
      <c r="C400" t="s">
        <v>1540</v>
      </c>
      <c r="D400" t="s">
        <v>1541</v>
      </c>
      <c r="E400" t="s">
        <v>313</v>
      </c>
      <c r="F400" t="s">
        <v>1542</v>
      </c>
      <c r="G400" t="s">
        <v>1543</v>
      </c>
      <c r="H400">
        <v>0.9</v>
      </c>
      <c r="I400" t="s">
        <v>264</v>
      </c>
      <c r="J400" t="str">
        <f t="shared" si="6"/>
        <v>Concern content - FAMILY A</v>
      </c>
      <c r="K400"/>
      <c r="N400" t="str">
        <f>IFERROR(INDEX('Hoja 1 - Supabase Transcripts'!$A:$DN,MATCH(A400,'Hoja 1 - Supabase Transcripts'!$A:$A,0),MATCH("gap_segmentation_"&amp;E400,'Hoja 1 - Supabase Transcripts'!$2:$2,0)),"not found")</f>
        <v>not found</v>
      </c>
    </row>
    <row r="401" spans="1:14" ht="409.5" customHeight="1">
      <c r="A401" t="s">
        <v>208</v>
      </c>
      <c r="B401">
        <v>1</v>
      </c>
      <c r="C401" t="s">
        <v>1540</v>
      </c>
      <c r="D401" t="s">
        <v>1544</v>
      </c>
      <c r="E401" t="s">
        <v>261</v>
      </c>
      <c r="F401" t="s">
        <v>1545</v>
      </c>
      <c r="G401" t="s">
        <v>1546</v>
      </c>
      <c r="H401">
        <v>0.9</v>
      </c>
      <c r="I401" t="s">
        <v>264</v>
      </c>
      <c r="J401" t="str">
        <f t="shared" si="6"/>
        <v>Concern content - FAMILY A</v>
      </c>
      <c r="K401"/>
      <c r="N401" t="str">
        <f>IFERROR(INDEX('Hoja 1 - Supabase Transcripts'!$A:$DN,MATCH(A401,'Hoja 1 - Supabase Transcripts'!$A:$A,0),MATCH("gap_segmentation_"&amp;E401,'Hoja 1 - Supabase Transcripts'!$2:$2,0)),"not found")</f>
        <v>not found</v>
      </c>
    </row>
    <row r="402" spans="1:14" ht="409.5" customHeight="1">
      <c r="A402" t="s">
        <v>208</v>
      </c>
      <c r="B402">
        <v>1</v>
      </c>
      <c r="C402" t="s">
        <v>1540</v>
      </c>
      <c r="D402" t="s">
        <v>1547</v>
      </c>
      <c r="E402" t="s">
        <v>261</v>
      </c>
      <c r="F402" t="s">
        <v>1548</v>
      </c>
      <c r="G402" t="s">
        <v>1549</v>
      </c>
      <c r="H402">
        <v>0.85</v>
      </c>
      <c r="I402" t="s">
        <v>310</v>
      </c>
      <c r="J402" t="str">
        <f t="shared" si="6"/>
        <v>Hedged, qualified disclosure</v>
      </c>
      <c r="K402" t="e">
        <f>_xlfn.XLOOKUP(J402,#REF!,#REF!,"0",0,1)</f>
        <v>#REF!</v>
      </c>
      <c r="N402" t="str">
        <f>IFERROR(INDEX('Hoja 1 - Supabase Transcripts'!$A:$DN,MATCH(A402,'Hoja 1 - Supabase Transcripts'!$A:$A,0),MATCH("gap_segmentation_"&amp;E402,'Hoja 1 - Supabase Transcripts'!$2:$2,0)),"not found")</f>
        <v>not found</v>
      </c>
    </row>
    <row r="403" spans="1:14" ht="409.5" customHeight="1">
      <c r="A403" t="s">
        <v>208</v>
      </c>
      <c r="B403">
        <v>1</v>
      </c>
      <c r="C403" t="s">
        <v>1540</v>
      </c>
      <c r="D403" t="s">
        <v>1550</v>
      </c>
      <c r="E403" t="s">
        <v>261</v>
      </c>
      <c r="F403" t="s">
        <v>1551</v>
      </c>
      <c r="G403" t="s">
        <v>1552</v>
      </c>
      <c r="H403">
        <v>0.95</v>
      </c>
      <c r="I403" t="s">
        <v>264</v>
      </c>
      <c r="J403" t="str">
        <f t="shared" si="6"/>
        <v>Concern content - FAMILY A</v>
      </c>
      <c r="K403"/>
      <c r="N403" t="str">
        <f>IFERROR(INDEX('Hoja 1 - Supabase Transcripts'!$A:$DN,MATCH(A403,'Hoja 1 - Supabase Transcripts'!$A:$A,0),MATCH("gap_segmentation_"&amp;E403,'Hoja 1 - Supabase Transcripts'!$2:$2,0)),"not found")</f>
        <v>not found</v>
      </c>
    </row>
    <row r="404" spans="1:14" ht="409.5" customHeight="1">
      <c r="A404" t="s">
        <v>208</v>
      </c>
      <c r="B404">
        <v>1</v>
      </c>
      <c r="C404" t="s">
        <v>1540</v>
      </c>
      <c r="D404" t="s">
        <v>1553</v>
      </c>
      <c r="E404" t="s">
        <v>266</v>
      </c>
      <c r="F404" t="s">
        <v>1554</v>
      </c>
      <c r="G404" t="s">
        <v>1555</v>
      </c>
      <c r="H404">
        <v>0.85</v>
      </c>
      <c r="I404" t="s">
        <v>264</v>
      </c>
      <c r="J404" t="str">
        <f t="shared" si="6"/>
        <v>Concern content - FAMILY A</v>
      </c>
      <c r="K404"/>
      <c r="N404" t="str">
        <f>IFERROR(INDEX('Hoja 1 - Supabase Transcripts'!$A:$DN,MATCH(A404,'Hoja 1 - Supabase Transcripts'!$A:$A,0),MATCH("gap_segmentation_"&amp;E404,'Hoja 1 - Supabase Transcripts'!$2:$2,0)),"not found")</f>
        <v>not found</v>
      </c>
    </row>
    <row r="405" spans="1:14" ht="409.5" customHeight="1">
      <c r="A405" t="s">
        <v>208</v>
      </c>
      <c r="B405">
        <v>1</v>
      </c>
      <c r="C405" t="s">
        <v>1540</v>
      </c>
      <c r="D405" t="s">
        <v>1556</v>
      </c>
      <c r="E405" t="s">
        <v>266</v>
      </c>
      <c r="F405" t="s">
        <v>1557</v>
      </c>
      <c r="G405" t="s">
        <v>1558</v>
      </c>
      <c r="H405">
        <v>0.9</v>
      </c>
      <c r="I405" t="s">
        <v>264</v>
      </c>
      <c r="J405" t="str">
        <f t="shared" si="6"/>
        <v>Concern content - FAMILY A</v>
      </c>
      <c r="K405"/>
      <c r="N405" t="str">
        <f>IFERROR(INDEX('Hoja 1 - Supabase Transcripts'!$A:$DN,MATCH(A405,'Hoja 1 - Supabase Transcripts'!$A:$A,0),MATCH("gap_segmentation_"&amp;E405,'Hoja 1 - Supabase Transcripts'!$2:$2,0)),"not found")</f>
        <v>not found</v>
      </c>
    </row>
    <row r="406" spans="1:14" ht="319" customHeight="1">
      <c r="A406" t="s">
        <v>187</v>
      </c>
      <c r="B406">
        <v>1</v>
      </c>
      <c r="C406" t="s">
        <v>1559</v>
      </c>
      <c r="D406" t="s">
        <v>1560</v>
      </c>
      <c r="E406" s="16" t="s">
        <v>266</v>
      </c>
      <c r="F406" t="s">
        <v>1561</v>
      </c>
      <c r="G406" t="s">
        <v>1562</v>
      </c>
      <c r="H406">
        <v>0.85</v>
      </c>
      <c r="I406" t="s">
        <v>354</v>
      </c>
      <c r="J406" t="str">
        <f t="shared" si="6"/>
        <v>Compensatory reframing</v>
      </c>
      <c r="K406" t="e">
        <f>_xlfn.XLOOKUP(J406,#REF!,#REF!,"0",0,1)</f>
        <v>#REF!</v>
      </c>
      <c r="N406" t="str">
        <f>IFERROR(INDEX('Hoja 1 - Supabase Transcripts'!$A:$DN,MATCH(A406,'Hoja 1 - Supabase Transcripts'!$A:$A,0),MATCH("gap_segmentation_"&amp;E406,'Hoja 1 - Supabase Transcripts'!$2:$2,0)),"not found")</f>
        <v>not found</v>
      </c>
    </row>
    <row r="407" spans="1:14" ht="409.5" customHeight="1">
      <c r="A407" t="s">
        <v>236</v>
      </c>
      <c r="B407">
        <v>4</v>
      </c>
      <c r="C407" t="s">
        <v>1563</v>
      </c>
      <c r="D407" t="s">
        <v>1564</v>
      </c>
      <c r="E407" t="s">
        <v>313</v>
      </c>
      <c r="F407" t="s">
        <v>1565</v>
      </c>
      <c r="G407" t="s">
        <v>1566</v>
      </c>
      <c r="H407">
        <v>0.92</v>
      </c>
      <c r="I407" t="s">
        <v>264</v>
      </c>
      <c r="J407" t="str">
        <f t="shared" si="6"/>
        <v>Concern content - FAMILY A</v>
      </c>
      <c r="K407"/>
      <c r="N407" t="str">
        <f>IFERROR(INDEX('Hoja 1 - Supabase Transcripts'!$A:$DN,MATCH(A407,'Hoja 1 - Supabase Transcripts'!$A:$A,0),MATCH("gap_segmentation_"&amp;E407,'Hoja 1 - Supabase Transcripts'!$2:$2,0)),"not found")</f>
        <v>not found</v>
      </c>
    </row>
    <row r="408" spans="1:14" ht="409.5" customHeight="1">
      <c r="A408" t="s">
        <v>236</v>
      </c>
      <c r="B408">
        <v>4</v>
      </c>
      <c r="C408" t="s">
        <v>1563</v>
      </c>
      <c r="D408" t="s">
        <v>1567</v>
      </c>
      <c r="E408" t="s">
        <v>261</v>
      </c>
      <c r="F408" t="s">
        <v>1568</v>
      </c>
      <c r="G408" t="s">
        <v>1569</v>
      </c>
      <c r="H408">
        <v>1</v>
      </c>
      <c r="I408" t="s">
        <v>1570</v>
      </c>
      <c r="J408" t="str">
        <f t="shared" si="6"/>
        <v>Channel exposure management</v>
      </c>
      <c r="K408" t="e">
        <f>_xlfn.XLOOKUP(J408,#REF!,#REF!,"0",0,1)</f>
        <v>#REF!</v>
      </c>
      <c r="N408" t="str">
        <f>IFERROR(INDEX('Hoja 1 - Supabase Transcripts'!$A:$DN,MATCH(A408,'Hoja 1 - Supabase Transcripts'!$A:$A,0),MATCH("gap_segmentation_"&amp;E408,'Hoja 1 - Supabase Transcripts'!$2:$2,0)),"not found")</f>
        <v>not found</v>
      </c>
    </row>
    <row r="409" spans="1:14" ht="409.5" customHeight="1">
      <c r="A409" t="s">
        <v>236</v>
      </c>
      <c r="B409">
        <v>4</v>
      </c>
      <c r="C409" t="s">
        <v>1563</v>
      </c>
      <c r="D409" t="s">
        <v>1571</v>
      </c>
      <c r="E409" t="s">
        <v>261</v>
      </c>
      <c r="F409" t="s">
        <v>1572</v>
      </c>
      <c r="G409" t="s">
        <v>1573</v>
      </c>
      <c r="H409">
        <v>0.95</v>
      </c>
      <c r="I409" t="s">
        <v>264</v>
      </c>
      <c r="J409" t="str">
        <f t="shared" si="6"/>
        <v>Concern content - FAMILY A</v>
      </c>
      <c r="K409"/>
      <c r="N409" t="str">
        <f>IFERROR(INDEX('Hoja 1 - Supabase Transcripts'!$A:$DN,MATCH(A409,'Hoja 1 - Supabase Transcripts'!$A:$A,0),MATCH("gap_segmentation_"&amp;E409,'Hoja 1 - Supabase Transcripts'!$2:$2,0)),"not found")</f>
        <v>not found</v>
      </c>
    </row>
    <row r="410" spans="1:14" ht="409.5" customHeight="1">
      <c r="A410" t="s">
        <v>236</v>
      </c>
      <c r="B410">
        <v>4</v>
      </c>
      <c r="C410" t="s">
        <v>1563</v>
      </c>
      <c r="D410" t="s">
        <v>1574</v>
      </c>
      <c r="E410" t="s">
        <v>261</v>
      </c>
      <c r="F410" t="s">
        <v>1575</v>
      </c>
      <c r="G410" t="s">
        <v>1576</v>
      </c>
      <c r="H410">
        <v>1</v>
      </c>
      <c r="I410" t="s">
        <v>415</v>
      </c>
      <c r="J410" t="str">
        <f t="shared" si="6"/>
        <v>Withholding under probing</v>
      </c>
      <c r="K410" t="e">
        <f>_xlfn.XLOOKUP(J410,#REF!,#REF!,"0",0,1)</f>
        <v>#REF!</v>
      </c>
      <c r="N410" t="str">
        <f>IFERROR(INDEX('Hoja 1 - Supabase Transcripts'!$A:$DN,MATCH(A410,'Hoja 1 - Supabase Transcripts'!$A:$A,0),MATCH("gap_segmentation_"&amp;E410,'Hoja 1 - Supabase Transcripts'!$2:$2,0)),"not found")</f>
        <v>not found</v>
      </c>
    </row>
    <row r="411" spans="1:14" ht="409.5" customHeight="1">
      <c r="A411" t="s">
        <v>236</v>
      </c>
      <c r="B411">
        <v>4</v>
      </c>
      <c r="C411" t="s">
        <v>1563</v>
      </c>
      <c r="D411" t="s">
        <v>1577</v>
      </c>
      <c r="E411" s="16" t="s">
        <v>266</v>
      </c>
      <c r="F411" t="s">
        <v>1578</v>
      </c>
      <c r="G411" t="s">
        <v>1579</v>
      </c>
      <c r="H411">
        <v>0.9</v>
      </c>
      <c r="I411" t="s">
        <v>310</v>
      </c>
      <c r="J411" t="str">
        <f t="shared" si="6"/>
        <v>Hedged, qualified disclosure</v>
      </c>
      <c r="K411" t="e">
        <f>_xlfn.XLOOKUP(J411,#REF!,#REF!,"0",0,1)</f>
        <v>#REF!</v>
      </c>
      <c r="N411" t="str">
        <f>IFERROR(INDEX('Hoja 1 - Supabase Transcripts'!$A:$DN,MATCH(A411,'Hoja 1 - Supabase Transcripts'!$A:$A,0),MATCH("gap_segmentation_"&amp;E411,'Hoja 1 - Supabase Transcripts'!$2:$2,0)),"not found")</f>
        <v>not found</v>
      </c>
    </row>
    <row r="412" spans="1:14" ht="409.5" customHeight="1">
      <c r="A412" t="s">
        <v>188</v>
      </c>
      <c r="B412">
        <v>1</v>
      </c>
      <c r="C412" t="s">
        <v>1580</v>
      </c>
      <c r="D412" t="s">
        <v>1581</v>
      </c>
      <c r="E412" t="s">
        <v>313</v>
      </c>
      <c r="F412" t="s">
        <v>1582</v>
      </c>
      <c r="G412" t="s">
        <v>1583</v>
      </c>
      <c r="H412">
        <v>0.8</v>
      </c>
      <c r="I412" t="s">
        <v>264</v>
      </c>
      <c r="J412" t="str">
        <f t="shared" si="6"/>
        <v>Concern content - FAMILY A</v>
      </c>
      <c r="K412"/>
      <c r="N412" t="str">
        <f>IFERROR(INDEX('Hoja 1 - Supabase Transcripts'!$A:$DN,MATCH(A412,'Hoja 1 - Supabase Transcripts'!$A:$A,0),MATCH("gap_segmentation_"&amp;E412,'Hoja 1 - Supabase Transcripts'!$2:$2,0)),"not found")</f>
        <v>not found</v>
      </c>
    </row>
    <row r="413" spans="1:14" ht="409.5" customHeight="1">
      <c r="A413" t="s">
        <v>188</v>
      </c>
      <c r="B413">
        <v>1</v>
      </c>
      <c r="C413" t="s">
        <v>1580</v>
      </c>
      <c r="D413" t="s">
        <v>1584</v>
      </c>
      <c r="E413" t="s">
        <v>313</v>
      </c>
      <c r="F413" t="s">
        <v>1585</v>
      </c>
      <c r="G413" t="s">
        <v>1586</v>
      </c>
      <c r="H413">
        <v>0.75</v>
      </c>
      <c r="I413" t="s">
        <v>264</v>
      </c>
      <c r="J413" t="str">
        <f t="shared" si="6"/>
        <v>Concern content - FAMILY A</v>
      </c>
      <c r="K413"/>
      <c r="N413" t="str">
        <f>IFERROR(INDEX('Hoja 1 - Supabase Transcripts'!$A:$DN,MATCH(A413,'Hoja 1 - Supabase Transcripts'!$A:$A,0),MATCH("gap_segmentation_"&amp;E413,'Hoja 1 - Supabase Transcripts'!$2:$2,0)),"not found")</f>
        <v>not found</v>
      </c>
    </row>
    <row r="414" spans="1:14" ht="409.5" customHeight="1">
      <c r="A414" t="s">
        <v>188</v>
      </c>
      <c r="B414">
        <v>1</v>
      </c>
      <c r="C414" t="s">
        <v>1580</v>
      </c>
      <c r="D414" t="s">
        <v>1587</v>
      </c>
      <c r="E414" s="20" t="s">
        <v>256</v>
      </c>
      <c r="F414" t="s">
        <v>1588</v>
      </c>
      <c r="G414" t="s">
        <v>1589</v>
      </c>
      <c r="H414">
        <v>0.7</v>
      </c>
      <c r="I414" t="s">
        <v>264</v>
      </c>
      <c r="J414" t="str">
        <f t="shared" si="6"/>
        <v>Concern content - FAMILY A</v>
      </c>
      <c r="K414"/>
      <c r="N414" t="str">
        <f>IFERROR(INDEX('Hoja 1 - Supabase Transcripts'!$A:$DN,MATCH(A414,'Hoja 1 - Supabase Transcripts'!$A:$A,0),MATCH("gap_segmentation_"&amp;E414,'Hoja 1 - Supabase Transcripts'!$2:$2,0)),"not found")</f>
        <v>not found</v>
      </c>
    </row>
    <row r="415" spans="1:14" ht="409.5" customHeight="1">
      <c r="A415" t="s">
        <v>188</v>
      </c>
      <c r="B415">
        <v>1</v>
      </c>
      <c r="C415" t="s">
        <v>1580</v>
      </c>
      <c r="D415" t="s">
        <v>1590</v>
      </c>
      <c r="E415" t="s">
        <v>261</v>
      </c>
      <c r="F415" t="s">
        <v>1591</v>
      </c>
      <c r="G415" t="s">
        <v>1592</v>
      </c>
      <c r="H415">
        <v>0.85</v>
      </c>
      <c r="I415" t="s">
        <v>354</v>
      </c>
      <c r="J415" t="str">
        <f t="shared" si="6"/>
        <v>Compensatory reframing</v>
      </c>
      <c r="K415" t="e">
        <f>_xlfn.XLOOKUP(J415,#REF!,#REF!,"0",0,1)</f>
        <v>#REF!</v>
      </c>
      <c r="N415" t="str">
        <f>IFERROR(INDEX('Hoja 1 - Supabase Transcripts'!$A:$DN,MATCH(A415,'Hoja 1 - Supabase Transcripts'!$A:$A,0),MATCH("gap_segmentation_"&amp;E415,'Hoja 1 - Supabase Transcripts'!$2:$2,0)),"not found")</f>
        <v>not found</v>
      </c>
    </row>
    <row r="416" spans="1:14" ht="409.5" customHeight="1">
      <c r="A416" t="s">
        <v>234</v>
      </c>
      <c r="B416">
        <v>5</v>
      </c>
      <c r="C416" t="s">
        <v>1593</v>
      </c>
      <c r="D416" t="s">
        <v>1594</v>
      </c>
      <c r="E416" t="s">
        <v>313</v>
      </c>
      <c r="F416" t="s">
        <v>1595</v>
      </c>
      <c r="G416" t="s">
        <v>1596</v>
      </c>
      <c r="H416">
        <v>0.85</v>
      </c>
      <c r="I416" t="s">
        <v>667</v>
      </c>
      <c r="J416" t="str">
        <f t="shared" si="6"/>
        <v>Recognized but unescalated concerns</v>
      </c>
      <c r="K416" t="e">
        <f>_xlfn.XLOOKUP(J416,#REF!,#REF!,"0",0,1)</f>
        <v>#REF!</v>
      </c>
      <c r="N416" t="str">
        <f>IFERROR(INDEX('Hoja 1 - Supabase Transcripts'!$A:$DN,MATCH(A416,'Hoja 1 - Supabase Transcripts'!$A:$A,0),MATCH("gap_segmentation_"&amp;E416,'Hoja 1 - Supabase Transcripts'!$2:$2,0)),"not found")</f>
        <v>not found</v>
      </c>
    </row>
    <row r="417" spans="1:14" ht="409.5" customHeight="1">
      <c r="A417" t="s">
        <v>234</v>
      </c>
      <c r="B417">
        <v>5</v>
      </c>
      <c r="C417" t="s">
        <v>1593</v>
      </c>
      <c r="D417" t="s">
        <v>1597</v>
      </c>
      <c r="E417" t="s">
        <v>313</v>
      </c>
      <c r="F417" t="s">
        <v>1598</v>
      </c>
      <c r="G417" t="s">
        <v>1599</v>
      </c>
      <c r="H417">
        <v>0.9</v>
      </c>
      <c r="I417" t="s">
        <v>293</v>
      </c>
      <c r="J417" t="str">
        <f t="shared" si="6"/>
        <v>Protective attribution shifting</v>
      </c>
      <c r="K417" t="e">
        <f>_xlfn.XLOOKUP(J417,#REF!,#REF!,"0",0,1)</f>
        <v>#REF!</v>
      </c>
      <c r="N417" t="str">
        <f>IFERROR(INDEX('Hoja 1 - Supabase Transcripts'!$A:$DN,MATCH(A417,'Hoja 1 - Supabase Transcripts'!$A:$A,0),MATCH("gap_segmentation_"&amp;E417,'Hoja 1 - Supabase Transcripts'!$2:$2,0)),"not found")</f>
        <v>not found</v>
      </c>
    </row>
    <row r="418" spans="1:14" ht="409.5" customHeight="1">
      <c r="A418" t="s">
        <v>234</v>
      </c>
      <c r="B418">
        <v>5</v>
      </c>
      <c r="C418" t="s">
        <v>1593</v>
      </c>
      <c r="D418" t="s">
        <v>1600</v>
      </c>
      <c r="E418" t="s">
        <v>261</v>
      </c>
      <c r="F418" t="s">
        <v>1601</v>
      </c>
      <c r="G418" t="s">
        <v>1602</v>
      </c>
      <c r="H418">
        <v>0.85</v>
      </c>
      <c r="I418" t="s">
        <v>330</v>
      </c>
      <c r="J418" t="str">
        <f t="shared" si="6"/>
        <v>Protective attribution shifting</v>
      </c>
      <c r="K418" t="e">
        <f>_xlfn.XLOOKUP(J418,#REF!,#REF!,"0",0,1)</f>
        <v>#REF!</v>
      </c>
      <c r="N418" t="str">
        <f>IFERROR(INDEX('Hoja 1 - Supabase Transcripts'!$A:$DN,MATCH(A418,'Hoja 1 - Supabase Transcripts'!$A:$A,0),MATCH("gap_segmentation_"&amp;E418,'Hoja 1 - Supabase Transcripts'!$2:$2,0)),"not found")</f>
        <v>not found</v>
      </c>
    </row>
    <row r="419" spans="1:14" ht="409.5" customHeight="1">
      <c r="A419" t="s">
        <v>234</v>
      </c>
      <c r="B419">
        <v>5</v>
      </c>
      <c r="C419" t="s">
        <v>1593</v>
      </c>
      <c r="D419" t="s">
        <v>1603</v>
      </c>
      <c r="E419" t="s">
        <v>261</v>
      </c>
      <c r="F419" t="s">
        <v>1604</v>
      </c>
      <c r="G419" t="s">
        <v>1605</v>
      </c>
      <c r="H419">
        <v>0.85</v>
      </c>
      <c r="I419" t="s">
        <v>281</v>
      </c>
      <c r="J419" t="str">
        <f t="shared" si="6"/>
        <v>Aspirational framing of unmet needs</v>
      </c>
      <c r="K419" t="e">
        <f>_xlfn.XLOOKUP(J419,#REF!,#REF!,"0",0,1)</f>
        <v>#REF!</v>
      </c>
      <c r="N419" t="str">
        <f>IFERROR(INDEX('Hoja 1 - Supabase Transcripts'!$A:$DN,MATCH(A419,'Hoja 1 - Supabase Transcripts'!$A:$A,0),MATCH("gap_segmentation_"&amp;E419,'Hoja 1 - Supabase Transcripts'!$2:$2,0)),"not found")</f>
        <v>not found</v>
      </c>
    </row>
    <row r="420" spans="1:14" ht="409.5" customHeight="1">
      <c r="A420" t="s">
        <v>234</v>
      </c>
      <c r="B420">
        <v>5</v>
      </c>
      <c r="C420" t="s">
        <v>1593</v>
      </c>
      <c r="D420" t="s">
        <v>1606</v>
      </c>
      <c r="E420" t="s">
        <v>261</v>
      </c>
      <c r="F420" t="s">
        <v>1607</v>
      </c>
      <c r="G420" t="s">
        <v>1608</v>
      </c>
      <c r="H420">
        <v>0.8</v>
      </c>
      <c r="I420" t="s">
        <v>310</v>
      </c>
      <c r="J420" t="str">
        <f t="shared" si="6"/>
        <v>Hedged, qualified disclosure</v>
      </c>
      <c r="K420" t="e">
        <f>_xlfn.XLOOKUP(J420,#REF!,#REF!,"0",0,1)</f>
        <v>#REF!</v>
      </c>
      <c r="N420" t="str">
        <f>IFERROR(INDEX('Hoja 1 - Supabase Transcripts'!$A:$DN,MATCH(A420,'Hoja 1 - Supabase Transcripts'!$A:$A,0),MATCH("gap_segmentation_"&amp;E420,'Hoja 1 - Supabase Transcripts'!$2:$2,0)),"not found")</f>
        <v>not found</v>
      </c>
    </row>
    <row r="421" spans="1:14" ht="409.5" customHeight="1">
      <c r="A421" t="s">
        <v>234</v>
      </c>
      <c r="B421">
        <v>5</v>
      </c>
      <c r="C421" t="s">
        <v>1593</v>
      </c>
      <c r="D421" t="s">
        <v>1609</v>
      </c>
      <c r="E421" t="s">
        <v>261</v>
      </c>
      <c r="F421" t="s">
        <v>1610</v>
      </c>
      <c r="G421" t="s">
        <v>1611</v>
      </c>
      <c r="H421">
        <v>0.9</v>
      </c>
      <c r="I421" t="s">
        <v>264</v>
      </c>
      <c r="J421" t="str">
        <f t="shared" si="6"/>
        <v>Concern content - FAMILY A</v>
      </c>
      <c r="K421"/>
      <c r="N421" t="str">
        <f>IFERROR(INDEX('Hoja 1 - Supabase Transcripts'!$A:$DN,MATCH(A421,'Hoja 1 - Supabase Transcripts'!$A:$A,0),MATCH("gap_segmentation_"&amp;E421,'Hoja 1 - Supabase Transcripts'!$2:$2,0)),"not found")</f>
        <v>not found</v>
      </c>
    </row>
    <row r="422" spans="1:14" ht="409.5" customHeight="1">
      <c r="A422" t="s">
        <v>234</v>
      </c>
      <c r="B422">
        <v>5</v>
      </c>
      <c r="C422" t="s">
        <v>1593</v>
      </c>
      <c r="D422" t="s">
        <v>1612</v>
      </c>
      <c r="E422" t="s">
        <v>261</v>
      </c>
      <c r="F422" t="s">
        <v>1613</v>
      </c>
      <c r="G422" t="s">
        <v>1614</v>
      </c>
      <c r="H422">
        <v>0.9</v>
      </c>
      <c r="I422" t="s">
        <v>1615</v>
      </c>
      <c r="J422" t="str">
        <f t="shared" si="6"/>
        <v>Boundary-marking around disclosure scope</v>
      </c>
      <c r="K422" t="e">
        <f>_xlfn.XLOOKUP(J422,#REF!,#REF!,"0",0,1)</f>
        <v>#REF!</v>
      </c>
      <c r="N422" t="str">
        <f>IFERROR(INDEX('Hoja 1 - Supabase Transcripts'!$A:$DN,MATCH(A422,'Hoja 1 - Supabase Transcripts'!$A:$A,0),MATCH("gap_segmentation_"&amp;E422,'Hoja 1 - Supabase Transcripts'!$2:$2,0)),"not found")</f>
        <v>not found</v>
      </c>
    </row>
    <row r="423" spans="1:14" ht="409.5" customHeight="1">
      <c r="A423" t="s">
        <v>234</v>
      </c>
      <c r="B423">
        <v>5</v>
      </c>
      <c r="C423" t="s">
        <v>1593</v>
      </c>
      <c r="D423" t="s">
        <v>1616</v>
      </c>
      <c r="E423" t="s">
        <v>261</v>
      </c>
      <c r="F423" t="s">
        <v>1617</v>
      </c>
      <c r="G423" t="s">
        <v>1618</v>
      </c>
      <c r="H423">
        <v>0.95</v>
      </c>
      <c r="I423" t="s">
        <v>264</v>
      </c>
      <c r="J423" t="str">
        <f t="shared" si="6"/>
        <v>Concern content - FAMILY A</v>
      </c>
      <c r="K423"/>
      <c r="N423" t="str">
        <f>IFERROR(INDEX('Hoja 1 - Supabase Transcripts'!$A:$DN,MATCH(A423,'Hoja 1 - Supabase Transcripts'!$A:$A,0),MATCH("gap_segmentation_"&amp;E423,'Hoja 1 - Supabase Transcripts'!$2:$2,0)),"not found")</f>
        <v>not found</v>
      </c>
    </row>
    <row r="424" spans="1:14" ht="409.5" customHeight="1">
      <c r="A424" t="s">
        <v>234</v>
      </c>
      <c r="B424">
        <v>5</v>
      </c>
      <c r="C424" t="s">
        <v>1593</v>
      </c>
      <c r="D424" t="s">
        <v>1619</v>
      </c>
      <c r="E424" t="s">
        <v>261</v>
      </c>
      <c r="F424" t="s">
        <v>1620</v>
      </c>
      <c r="G424" t="s">
        <v>1621</v>
      </c>
      <c r="H424">
        <v>0.95</v>
      </c>
      <c r="I424" t="s">
        <v>269</v>
      </c>
      <c r="J424" t="str">
        <f t="shared" si="6"/>
        <v>Hedged, qualified disclosure</v>
      </c>
      <c r="K424" t="e">
        <f>_xlfn.XLOOKUP(J424,#REF!,#REF!,"0",0,1)</f>
        <v>#REF!</v>
      </c>
      <c r="N424" t="str">
        <f>IFERROR(INDEX('Hoja 1 - Supabase Transcripts'!$A:$DN,MATCH(A424,'Hoja 1 - Supabase Transcripts'!$A:$A,0),MATCH("gap_segmentation_"&amp;E424,'Hoja 1 - Supabase Transcripts'!$2:$2,0)),"not found")</f>
        <v>not found</v>
      </c>
    </row>
    <row r="425" spans="1:14" ht="409.5" customHeight="1">
      <c r="A425" t="s">
        <v>234</v>
      </c>
      <c r="B425">
        <v>5</v>
      </c>
      <c r="C425" t="s">
        <v>1593</v>
      </c>
      <c r="D425" t="s">
        <v>1622</v>
      </c>
      <c r="E425" t="s">
        <v>261</v>
      </c>
      <c r="F425" t="s">
        <v>1623</v>
      </c>
      <c r="G425" t="s">
        <v>1624</v>
      </c>
      <c r="H425">
        <v>0.95</v>
      </c>
      <c r="I425" t="s">
        <v>264</v>
      </c>
      <c r="J425" t="str">
        <f t="shared" si="6"/>
        <v>Concern content - FAMILY A</v>
      </c>
      <c r="K425"/>
      <c r="N425" t="str">
        <f>IFERROR(INDEX('Hoja 1 - Supabase Transcripts'!$A:$DN,MATCH(A425,'Hoja 1 - Supabase Transcripts'!$A:$A,0),MATCH("gap_segmentation_"&amp;E425,'Hoja 1 - Supabase Transcripts'!$2:$2,0)),"not found")</f>
        <v>not found</v>
      </c>
    </row>
    <row r="426" spans="1:14" ht="409.5" customHeight="1">
      <c r="A426" t="s">
        <v>234</v>
      </c>
      <c r="B426">
        <v>5</v>
      </c>
      <c r="C426" t="s">
        <v>1593</v>
      </c>
      <c r="D426" t="s">
        <v>1625</v>
      </c>
      <c r="E426" s="16" t="s">
        <v>266</v>
      </c>
      <c r="F426" t="s">
        <v>1626</v>
      </c>
      <c r="G426" t="s">
        <v>1627</v>
      </c>
      <c r="H426">
        <v>0.9</v>
      </c>
      <c r="I426" t="s">
        <v>289</v>
      </c>
      <c r="J426" t="str">
        <f t="shared" si="6"/>
        <v>Normalization of extreme conditions</v>
      </c>
      <c r="K426" t="e">
        <f>_xlfn.XLOOKUP(J426,#REF!,#REF!,"0",0,1)</f>
        <v>#REF!</v>
      </c>
      <c r="N426" t="str">
        <f>IFERROR(INDEX('Hoja 1 - Supabase Transcripts'!$A:$DN,MATCH(A426,'Hoja 1 - Supabase Transcripts'!$A:$A,0),MATCH("gap_segmentation_"&amp;E426,'Hoja 1 - Supabase Transcripts'!$2:$2,0)),"not found")</f>
        <v>not found</v>
      </c>
    </row>
    <row r="427" spans="1:14" ht="409.5" customHeight="1">
      <c r="A427" t="s">
        <v>234</v>
      </c>
      <c r="B427">
        <v>5</v>
      </c>
      <c r="C427" t="s">
        <v>1593</v>
      </c>
      <c r="D427" t="s">
        <v>1628</v>
      </c>
      <c r="E427" t="s">
        <v>266</v>
      </c>
      <c r="F427" t="s">
        <v>1629</v>
      </c>
      <c r="G427" t="s">
        <v>1630</v>
      </c>
      <c r="H427">
        <v>0.8</v>
      </c>
      <c r="I427" t="s">
        <v>264</v>
      </c>
      <c r="J427" t="str">
        <f t="shared" si="6"/>
        <v>Concern content - FAMILY A</v>
      </c>
      <c r="K427"/>
      <c r="N427" t="str">
        <f>IFERROR(INDEX('Hoja 1 - Supabase Transcripts'!$A:$DN,MATCH(A427,'Hoja 1 - Supabase Transcripts'!$A:$A,0),MATCH("gap_segmentation_"&amp;E427,'Hoja 1 - Supabase Transcripts'!$2:$2,0)),"not found")</f>
        <v>not found</v>
      </c>
    </row>
    <row r="428" spans="1:14" ht="409.5" customHeight="1">
      <c r="A428" t="s">
        <v>234</v>
      </c>
      <c r="B428">
        <v>5</v>
      </c>
      <c r="C428" t="s">
        <v>1593</v>
      </c>
      <c r="D428" t="s">
        <v>1631</v>
      </c>
      <c r="E428" t="s">
        <v>266</v>
      </c>
      <c r="F428" t="s">
        <v>1632</v>
      </c>
      <c r="G428" t="s">
        <v>1633</v>
      </c>
      <c r="H428">
        <v>0.9</v>
      </c>
      <c r="I428" t="s">
        <v>264</v>
      </c>
      <c r="J428" t="str">
        <f t="shared" si="6"/>
        <v>Concern content - FAMILY A</v>
      </c>
      <c r="K428"/>
      <c r="N428" t="str">
        <f>IFERROR(INDEX('Hoja 1 - Supabase Transcripts'!$A:$DN,MATCH(A428,'Hoja 1 - Supabase Transcripts'!$A:$A,0),MATCH("gap_segmentation_"&amp;E428,'Hoja 1 - Supabase Transcripts'!$2:$2,0)),"not found")</f>
        <v>not found</v>
      </c>
    </row>
    <row r="429" spans="1:14" ht="409.5" customHeight="1">
      <c r="A429" t="s">
        <v>234</v>
      </c>
      <c r="B429">
        <v>5</v>
      </c>
      <c r="C429" t="s">
        <v>1593</v>
      </c>
      <c r="D429" t="s">
        <v>1634</v>
      </c>
      <c r="E429" s="16" t="s">
        <v>266</v>
      </c>
      <c r="F429" t="s">
        <v>1635</v>
      </c>
      <c r="G429" t="s">
        <v>1636</v>
      </c>
      <c r="H429">
        <v>0.85</v>
      </c>
      <c r="I429" t="s">
        <v>310</v>
      </c>
      <c r="J429" t="str">
        <f t="shared" si="6"/>
        <v>Hedged, qualified disclosure</v>
      </c>
      <c r="K429" t="e">
        <f>_xlfn.XLOOKUP(J429,#REF!,#REF!,"0",0,1)</f>
        <v>#REF!</v>
      </c>
      <c r="N429" t="str">
        <f>IFERROR(INDEX('Hoja 1 - Supabase Transcripts'!$A:$DN,MATCH(A429,'Hoja 1 - Supabase Transcripts'!$A:$A,0),MATCH("gap_segmentation_"&amp;E429,'Hoja 1 - Supabase Transcripts'!$2:$2,0)),"not found")</f>
        <v>not found</v>
      </c>
    </row>
    <row r="430" spans="1:14" ht="409.5" customHeight="1">
      <c r="A430" t="s">
        <v>234</v>
      </c>
      <c r="B430">
        <v>5</v>
      </c>
      <c r="C430" t="s">
        <v>1593</v>
      </c>
      <c r="D430" t="s">
        <v>1637</v>
      </c>
      <c r="E430" t="s">
        <v>266</v>
      </c>
      <c r="F430" t="s">
        <v>1638</v>
      </c>
      <c r="G430" t="s">
        <v>1639</v>
      </c>
      <c r="H430">
        <v>0.9</v>
      </c>
      <c r="I430" t="s">
        <v>264</v>
      </c>
      <c r="J430" t="str">
        <f t="shared" si="6"/>
        <v>Concern content - FAMILY A</v>
      </c>
      <c r="K430"/>
      <c r="N430" t="str">
        <f>IFERROR(INDEX('Hoja 1 - Supabase Transcripts'!$A:$DN,MATCH(A430,'Hoja 1 - Supabase Transcripts'!$A:$A,0),MATCH("gap_segmentation_"&amp;E430,'Hoja 1 - Supabase Transcripts'!$2:$2,0)),"not found")</f>
        <v>not found</v>
      </c>
    </row>
  </sheetData>
  <autoFilter ref="A1:N430" xr:uid="{00000000-0009-0000-0000-000001000000}"/>
  <pageMargins left="0.7" right="0.7" top="0.78740157499999996" bottom="0.78740157499999996"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Hoja 1 - Supabase Transcripts</vt:lpstr>
      <vt:lpstr>Qualitative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cp:lastPrinted>2026-06-10T16:01:44Z</cp:lastPrinted>
  <dcterms:created xsi:type="dcterms:W3CDTF">2026-05-11T16:52:01Z</dcterms:created>
  <dcterms:modified xsi:type="dcterms:W3CDTF">2026-08-04T07:38:20Z</dcterms:modified>
</cp:coreProperties>
</file>